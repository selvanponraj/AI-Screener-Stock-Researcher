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aks\Downloads\"/>
    </mc:Choice>
  </mc:AlternateContent>
  <xr:revisionPtr revIDLastSave="0" documentId="13_ncr:1_{EEB7F4C5-BFC3-4BBD-B919-F790BEDF50B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8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39" i="1" l="1"/>
  <c r="O7" i="1"/>
  <c r="D38" i="1"/>
  <c r="E38" i="1"/>
  <c r="F38" i="1"/>
  <c r="G38" i="1"/>
  <c r="H38" i="1"/>
  <c r="I38" i="1"/>
  <c r="J38" i="1"/>
  <c r="K38" i="1"/>
  <c r="C38" i="1"/>
  <c r="I37" i="1"/>
  <c r="J37" i="1"/>
  <c r="K37" i="1"/>
  <c r="C6" i="3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4" i="2"/>
  <c r="E4" i="2"/>
  <c r="E5" i="2"/>
  <c r="F4" i="2"/>
  <c r="G4" i="2"/>
  <c r="H4" i="2"/>
  <c r="I4" i="2"/>
  <c r="I5" i="2"/>
  <c r="J4" i="2"/>
  <c r="J5" i="2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D16" i="2" s="1"/>
  <c r="E7" i="2"/>
  <c r="F7" i="2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D28" i="2" s="1"/>
  <c r="E10" i="2"/>
  <c r="F10" i="2"/>
  <c r="G10" i="2"/>
  <c r="H10" i="2"/>
  <c r="I10" i="2"/>
  <c r="J10" i="2"/>
  <c r="K10" i="2"/>
  <c r="K28" i="2" s="1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F13" i="2"/>
  <c r="G13" i="2"/>
  <c r="H13" i="2"/>
  <c r="I13" i="2"/>
  <c r="J13" i="2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E4" i="3"/>
  <c r="F4" i="3"/>
  <c r="G4" i="3"/>
  <c r="G14" i="3" s="1"/>
  <c r="H4" i="3"/>
  <c r="H14" i="3" s="1"/>
  <c r="I4" i="3"/>
  <c r="J4" i="3"/>
  <c r="J14" i="3" s="1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G29" i="1" s="1"/>
  <c r="H18" i="1"/>
  <c r="I18" i="1"/>
  <c r="J18" i="1"/>
  <c r="K18" i="1"/>
  <c r="B18" i="1"/>
  <c r="C4" i="1"/>
  <c r="D4" i="1"/>
  <c r="D36" i="1" s="1"/>
  <c r="E4" i="1"/>
  <c r="E36" i="1" s="1"/>
  <c r="F4" i="1"/>
  <c r="G4" i="1"/>
  <c r="H4" i="1"/>
  <c r="I4" i="1"/>
  <c r="J4" i="1"/>
  <c r="K4" i="1"/>
  <c r="K20" i="2" s="1"/>
  <c r="C7" i="1"/>
  <c r="D7" i="1"/>
  <c r="E7" i="1"/>
  <c r="F7" i="1"/>
  <c r="G7" i="1"/>
  <c r="H7" i="1"/>
  <c r="I7" i="1"/>
  <c r="J7" i="1"/>
  <c r="K7" i="1"/>
  <c r="C8" i="1"/>
  <c r="C30" i="1" s="1"/>
  <c r="D8" i="1"/>
  <c r="E8" i="1"/>
  <c r="E30" i="1" s="1"/>
  <c r="F8" i="1"/>
  <c r="F30" i="1" s="1"/>
  <c r="G8" i="1"/>
  <c r="H8" i="1"/>
  <c r="I8" i="1"/>
  <c r="J8" i="1"/>
  <c r="J30" i="1" s="1"/>
  <c r="K8" i="1"/>
  <c r="K30" i="1" s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D12" i="1"/>
  <c r="D37" i="1" s="1"/>
  <c r="E12" i="1"/>
  <c r="E37" i="1" s="1"/>
  <c r="F12" i="1"/>
  <c r="F13" i="1" s="1"/>
  <c r="G12" i="1"/>
  <c r="G37" i="1" s="1"/>
  <c r="H12" i="1"/>
  <c r="H13" i="1" s="1"/>
  <c r="I12" i="1"/>
  <c r="I13" i="1" s="1"/>
  <c r="J12" i="1"/>
  <c r="J13" i="1" s="1"/>
  <c r="K12" i="1"/>
  <c r="K13" i="1" s="1"/>
  <c r="C15" i="1"/>
  <c r="D15" i="1"/>
  <c r="E15" i="1"/>
  <c r="F15" i="1"/>
  <c r="G15" i="1"/>
  <c r="H15" i="1"/>
  <c r="I15" i="1"/>
  <c r="J15" i="1"/>
  <c r="K15" i="1"/>
  <c r="B15" i="1"/>
  <c r="B7" i="1"/>
  <c r="B4" i="1"/>
  <c r="A1" i="1"/>
  <c r="A1" i="3" s="1"/>
  <c r="E1" i="6"/>
  <c r="H1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B18" i="2"/>
  <c r="B13" i="2"/>
  <c r="B12" i="2"/>
  <c r="B11" i="2"/>
  <c r="B29" i="2" s="1"/>
  <c r="B10" i="2"/>
  <c r="B8" i="2"/>
  <c r="B7" i="2"/>
  <c r="B6" i="2"/>
  <c r="B3" i="2"/>
  <c r="B12" i="3"/>
  <c r="B11" i="3"/>
  <c r="B10" i="3"/>
  <c r="B9" i="3"/>
  <c r="B8" i="3"/>
  <c r="B7" i="3"/>
  <c r="B4" i="3"/>
  <c r="B3" i="3"/>
  <c r="L15" i="1"/>
  <c r="B12" i="1"/>
  <c r="B13" i="1" s="1"/>
  <c r="B11" i="1"/>
  <c r="B10" i="1"/>
  <c r="B9" i="1"/>
  <c r="B8" i="1"/>
  <c r="B3" i="1"/>
  <c r="D20" i="2" l="1"/>
  <c r="I29" i="2"/>
  <c r="F16" i="2"/>
  <c r="H37" i="1"/>
  <c r="K29" i="2"/>
  <c r="C29" i="2"/>
  <c r="H29" i="2"/>
  <c r="G29" i="2"/>
  <c r="H36" i="1"/>
  <c r="F29" i="2"/>
  <c r="F37" i="1"/>
  <c r="J29" i="2"/>
  <c r="E29" i="2"/>
  <c r="F28" i="2"/>
  <c r="D29" i="2"/>
  <c r="C37" i="1"/>
  <c r="J29" i="1"/>
  <c r="L7" i="4"/>
  <c r="K21" i="2"/>
  <c r="C21" i="2"/>
  <c r="B16" i="2"/>
  <c r="H30" i="1"/>
  <c r="L10" i="1"/>
  <c r="D6" i="1"/>
  <c r="D19" i="1" s="1"/>
  <c r="B30" i="1"/>
  <c r="E31" i="1"/>
  <c r="I30" i="1"/>
  <c r="K34" i="1" s="1"/>
  <c r="F14" i="3"/>
  <c r="L4" i="4"/>
  <c r="I29" i="1"/>
  <c r="H16" i="2"/>
  <c r="H23" i="2"/>
  <c r="E21" i="2"/>
  <c r="D30" i="1"/>
  <c r="E34" i="1" s="1"/>
  <c r="E28" i="2"/>
  <c r="E32" i="1" s="1"/>
  <c r="I36" i="1"/>
  <c r="D29" i="1"/>
  <c r="H28" i="2"/>
  <c r="H32" i="1" s="1"/>
  <c r="J6" i="1"/>
  <c r="J19" i="1" s="1"/>
  <c r="K16" i="2"/>
  <c r="J14" i="1"/>
  <c r="G30" i="1"/>
  <c r="C23" i="2"/>
  <c r="H29" i="1"/>
  <c r="L11" i="1"/>
  <c r="J16" i="2"/>
  <c r="G16" i="2"/>
  <c r="G23" i="2"/>
  <c r="D21" i="2"/>
  <c r="E20" i="2"/>
  <c r="K31" i="1"/>
  <c r="C16" i="2"/>
  <c r="I21" i="2"/>
  <c r="B6" i="1"/>
  <c r="B19" i="1" s="1"/>
  <c r="F29" i="1"/>
  <c r="K23" i="2"/>
  <c r="J20" i="2"/>
  <c r="K36" i="1"/>
  <c r="E29" i="1"/>
  <c r="J28" i="2"/>
  <c r="J32" i="1" s="1"/>
  <c r="F32" i="1"/>
  <c r="L6" i="1"/>
  <c r="K9" i="4" s="1"/>
  <c r="F31" i="1"/>
  <c r="L12" i="1"/>
  <c r="L13" i="1" s="1"/>
  <c r="L14" i="1" s="1"/>
  <c r="L25" i="1" s="1"/>
  <c r="C28" i="2"/>
  <c r="D23" i="2"/>
  <c r="J21" i="2"/>
  <c r="C20" i="2"/>
  <c r="J36" i="1"/>
  <c r="H23" i="1"/>
  <c r="E6" i="1"/>
  <c r="E19" i="1" s="1"/>
  <c r="C36" i="1"/>
  <c r="C31" i="1"/>
  <c r="D34" i="1"/>
  <c r="A1" i="2"/>
  <c r="A1" i="4" s="1"/>
  <c r="D31" i="1"/>
  <c r="F28" i="1" s="1"/>
  <c r="I28" i="2"/>
  <c r="I32" i="1" s="1"/>
  <c r="P12" i="1"/>
  <c r="G20" i="2"/>
  <c r="G31" i="1"/>
  <c r="B21" i="2"/>
  <c r="F14" i="1"/>
  <c r="H21" i="2"/>
  <c r="K14" i="1"/>
  <c r="C14" i="1"/>
  <c r="K6" i="1"/>
  <c r="K19" i="1" s="1"/>
  <c r="C6" i="1"/>
  <c r="B9" i="4" s="1"/>
  <c r="E14" i="3"/>
  <c r="F34" i="1"/>
  <c r="G34" i="1"/>
  <c r="G28" i="2"/>
  <c r="G32" i="1" s="1"/>
  <c r="K29" i="1"/>
  <c r="G21" i="2"/>
  <c r="B20" i="2"/>
  <c r="I6" i="1"/>
  <c r="I19" i="1" s="1"/>
  <c r="F23" i="2"/>
  <c r="J31" i="1"/>
  <c r="B31" i="1"/>
  <c r="F36" i="1"/>
  <c r="L5" i="1"/>
  <c r="G36" i="1"/>
  <c r="I31" i="1"/>
  <c r="D32" i="1"/>
  <c r="F20" i="2"/>
  <c r="L4" i="1"/>
  <c r="L23" i="1" s="1"/>
  <c r="B14" i="3"/>
  <c r="I23" i="1"/>
  <c r="D14" i="3"/>
  <c r="E16" i="2"/>
  <c r="F24" i="2"/>
  <c r="G13" i="1"/>
  <c r="G14" i="1" s="1"/>
  <c r="J25" i="1" s="1"/>
  <c r="H31" i="1"/>
  <c r="H28" i="1" s="1"/>
  <c r="K32" i="1"/>
  <c r="C32" i="1"/>
  <c r="E1" i="2"/>
  <c r="F21" i="2"/>
  <c r="I23" i="2"/>
  <c r="J24" i="2"/>
  <c r="D24" i="2"/>
  <c r="I14" i="3"/>
  <c r="G6" i="1"/>
  <c r="G19" i="1" s="1"/>
  <c r="J24" i="1" s="1"/>
  <c r="I24" i="2"/>
  <c r="E24" i="2"/>
  <c r="I14" i="1"/>
  <c r="K25" i="1" s="1"/>
  <c r="M25" i="1" s="1"/>
  <c r="M14" i="1" s="1"/>
  <c r="C24" i="2"/>
  <c r="H24" i="2"/>
  <c r="J23" i="1"/>
  <c r="B23" i="2"/>
  <c r="H14" i="1"/>
  <c r="G24" i="2"/>
  <c r="D13" i="1"/>
  <c r="E13" i="1" s="1"/>
  <c r="E14" i="1" s="1"/>
  <c r="K24" i="1"/>
  <c r="L9" i="1"/>
  <c r="M9" i="1" s="1"/>
  <c r="L8" i="1"/>
  <c r="M8" i="1" s="1"/>
  <c r="L7" i="1"/>
  <c r="J23" i="2"/>
  <c r="E23" i="2"/>
  <c r="E1" i="3"/>
  <c r="B14" i="1"/>
  <c r="I16" i="2"/>
  <c r="K24" i="2"/>
  <c r="I20" i="2"/>
  <c r="H20" i="2"/>
  <c r="K23" i="1"/>
  <c r="H6" i="1"/>
  <c r="H19" i="1" s="1"/>
  <c r="F6" i="1"/>
  <c r="F19" i="1" s="1"/>
  <c r="E1" i="4"/>
  <c r="M11" i="1" l="1"/>
  <c r="J34" i="1"/>
  <c r="N9" i="1"/>
  <c r="I34" i="1"/>
  <c r="H9" i="4"/>
  <c r="I9" i="4"/>
  <c r="H34" i="1"/>
  <c r="J9" i="4"/>
  <c r="B10" i="4" s="1"/>
  <c r="C9" i="4"/>
  <c r="F9" i="4"/>
  <c r="D9" i="4"/>
  <c r="G9" i="4"/>
  <c r="E9" i="4"/>
  <c r="K33" i="1"/>
  <c r="J33" i="1"/>
  <c r="E28" i="1"/>
  <c r="N11" i="1"/>
  <c r="D28" i="1"/>
  <c r="K28" i="1"/>
  <c r="C19" i="1"/>
  <c r="H24" i="1" s="1"/>
  <c r="O6" i="1"/>
  <c r="L9" i="4" s="1"/>
  <c r="G28" i="1"/>
  <c r="L19" i="1"/>
  <c r="L24" i="1" s="1"/>
  <c r="M24" i="1" s="1"/>
  <c r="I25" i="1"/>
  <c r="N23" i="1"/>
  <c r="N4" i="1" s="1"/>
  <c r="G33" i="1"/>
  <c r="I33" i="1"/>
  <c r="H33" i="1"/>
  <c r="E33" i="1"/>
  <c r="J28" i="1"/>
  <c r="J27" i="1" s="1"/>
  <c r="I28" i="1"/>
  <c r="M23" i="1"/>
  <c r="M4" i="1" s="1"/>
  <c r="F33" i="1"/>
  <c r="F27" i="1" s="1"/>
  <c r="D14" i="1"/>
  <c r="H25" i="1" s="1"/>
  <c r="N8" i="1"/>
  <c r="I24" i="1"/>
  <c r="K27" i="1" l="1"/>
  <c r="E27" i="1"/>
  <c r="H27" i="1"/>
  <c r="N24" i="1"/>
  <c r="N6" i="1" s="1"/>
  <c r="N5" i="1" s="1"/>
  <c r="G27" i="1"/>
  <c r="M6" i="1"/>
  <c r="M10" i="1" s="1"/>
  <c r="M12" i="1" s="1"/>
  <c r="M13" i="1" s="1"/>
  <c r="M15" i="1" s="1"/>
  <c r="N25" i="1"/>
  <c r="N14" i="1" s="1"/>
  <c r="I27" i="1"/>
  <c r="N10" i="1" l="1"/>
  <c r="N12" i="1" s="1"/>
  <c r="N13" i="1" s="1"/>
  <c r="N15" i="1" s="1"/>
  <c r="M5" i="1"/>
</calcChain>
</file>

<file path=xl/sharedStrings.xml><?xml version="1.0" encoding="utf-8"?>
<sst xmlns="http://schemas.openxmlformats.org/spreadsheetml/2006/main" count="162" uniqueCount="110">
  <si>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</si>
  <si>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</si>
  <si>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</si>
  <si>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</si>
  <si>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</si>
  <si>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</si>
  <si>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</si>
  <si>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</si>
  <si>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</si>
  <si>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</si>
  <si>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</si>
  <si>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</si>
  <si>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</si>
  <si>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</si>
  <si>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</si>
  <si>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</si>
  <si>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</si>
  <si>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</si>
  <si>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</si>
  <si>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</si>
  <si>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</si>
  <si>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</si>
  <si>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</si>
  <si>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</si>
  <si>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</si>
  <si>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</si>
  <si>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</si>
  <si>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</si>
  <si>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</si>
  <si>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</si>
  <si>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</si>
  <si>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</si>
  <si>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</si>
  <si>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</si>
  <si>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</si>
  <si>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</si>
  <si>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</si>
  <si>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</si>
  <si>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</si>
  <si>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</si>
  <si>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</si>
  <si>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</si>
  <si>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</si>
  <si>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</si>
  <si>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</si>
  <si>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</si>
  <si>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</si>
  <si>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</si>
  <si>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</si>
  <si>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</si>
  <si>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</si>
  <si>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</si>
  <si>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</si>
  <si>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</si>
  <si>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</si>
  <si>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</si>
  <si>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</si>
  <si>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</si>
  <si>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</si>
  <si>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</si>
  <si>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</si>
  <si>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</si>
  <si>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</si>
  <si>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TATA CONSULTANCY SERVICES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</si>
  <si>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</si>
  <si>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</si>
  <si>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</si>
  <si>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</si>
  <si>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</si>
  <si>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</si>
  <si>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</si>
  <si>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</si>
  <si>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</si>
  <si>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</si>
  <si>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</si>
  <si>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</si>
  <si>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</si>
  <si>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</si>
  <si>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</si>
  <si>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</si>
  <si>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</si>
  <si>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</si>
  <si>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</si>
  <si>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</si>
  <si>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</si>
  <si>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</si>
  <si>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</si>
  <si>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</si>
  <si>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</si>
  <si>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</si>
  <si>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</si>
  <si>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</si>
  <si>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</si>
  <si>
    <t>SSGR</t>
  </si>
  <si>
    <t>NPM</t>
  </si>
  <si>
    <t>DPR</t>
  </si>
  <si>
    <t>Dep</t>
  </si>
  <si>
    <t>NPM-AVG</t>
  </si>
  <si>
    <t>NFA AVG</t>
  </si>
  <si>
    <t>NFAT</t>
  </si>
  <si>
    <t>NFAT-AVG</t>
  </si>
  <si>
    <t>Dep AVG</t>
  </si>
  <si>
    <t>Sales growth</t>
  </si>
  <si>
    <t>Total Profit</t>
  </si>
  <si>
    <t>CFO as % of EBITDA</t>
  </si>
  <si>
    <t>CFO as % of EBITDA last 5 years</t>
  </si>
  <si>
    <t>CWIP/Gross Block(%)</t>
  </si>
  <si>
    <t>Net Profit Growth</t>
  </si>
  <si>
    <t>Raw Material Cost as a % of Sales</t>
  </si>
  <si>
    <t>Other Income as % of 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</si>
</sst>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8">
    <xf numFmtId="0" fontId="0" fillId="0" borderId="0" xfId="0"/>
    <xf numFmtId="43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43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43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43" fontId="0" fillId="0" borderId="0" xfId="1" applyNumberFormat="1" applyFont="1" applyBorder="1" applyAlignment="1">
      <alignment horizontal="center"/>
    </xf>
    <xf numFmtId="43" fontId="1" fillId="0" borderId="0" xfId="1" applyNumberFormat="1" applyFont="1" applyBorder="1" applyAlignment="1">
      <alignment horizontal="center"/>
    </xf>
    <xf numFmtId="43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164" fontId="0" fillId="0" borderId="0" xfId="1" applyNumberFormat="1" applyFont="1" applyBorder="1"/>
    <xf numFmtId="43" fontId="0" fillId="0" borderId="0" xfId="0" applyNumberFormat="1" applyBorder="1"/>
    <xf numFmtId="43" fontId="1" fillId="0" borderId="0" xfId="0" applyNumberFormat="1" applyFont="1" applyBorder="1"/>
    <xf numFmtId="43" fontId="1" fillId="0" borderId="0" xfId="0" applyNumberFormat="1" applyFont="1" applyFill="1" applyBorder="1"/>
    <xf numFmtId="43" fontId="0" fillId="0" borderId="0" xfId="0" applyNumberFormat="1" applyFont="1" applyBorder="1"/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3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 * #,##0.00_ ;_ * \-#,##0.00_ ;_ * &quot;-&quot;??_ ;_ @_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O19" headerRowCount="0" totalsRowShown="0" headerRowDxfId="32">
  <tableColumns count="15">
    <tableColumn id="1" xr3:uid="{00000000-0010-0000-0000-000001000000}" name="Column1" headerRowDxfId="31" dataDxfId="30"/>
    <tableColumn id="2" xr3:uid="{00000000-0010-0000-0000-000002000000}" name="Column2" headerRowDxfId="29"/>
    <tableColumn id="3" xr3:uid="{00000000-0010-0000-0000-000003000000}" name="Column3" headerRowDxfId="28"/>
    <tableColumn id="4" xr3:uid="{00000000-0010-0000-0000-000004000000}" name="Column4" headerRowDxfId="27"/>
    <tableColumn id="5" xr3:uid="{00000000-0010-0000-0000-000005000000}" name="Column5" headerRowDxfId="26"/>
    <tableColumn id="6" xr3:uid="{00000000-0010-0000-0000-000006000000}" name="Column6" headerRowDxfId="25"/>
    <tableColumn id="7" xr3:uid="{00000000-0010-0000-0000-000007000000}" name="Column7" headerRowDxfId="24"/>
    <tableColumn id="8" xr3:uid="{00000000-0010-0000-0000-000008000000}" name="Column8" headerRowDxfId="23"/>
    <tableColumn id="9" xr3:uid="{00000000-0010-0000-0000-000009000000}" name="Column9" headerRowDxfId="22"/>
    <tableColumn id="10" xr3:uid="{00000000-0010-0000-0000-00000A000000}" name="Column10" headerRowDxfId="21"/>
    <tableColumn id="11" xr3:uid="{00000000-0010-0000-0000-00000B000000}" name="Column11" headerRowDxfId="20"/>
    <tableColumn id="12" xr3:uid="{00000000-0010-0000-0000-00000C000000}" name="Column12" headerRowDxfId="19"/>
    <tableColumn id="13" xr3:uid="{00000000-0010-0000-0000-00000D000000}" name="Column13" headerRowDxfId="18" dataDxfId="17"/>
    <tableColumn id="14" xr3:uid="{00000000-0010-0000-0000-00000E000000}" name="Column14" headerRowDxfId="16" dataDxfId="15"/>
    <tableColumn id="15" xr3:uid="{2F5411ED-80A1-41B8-B5FB-39522E0D1A36}" name="Column15" headerRowDxfId="14" dataDxfId="13">
      <calculatedColumnFormula>SUM(C3:K3)</calculatedColumnFormula>
    </tableColumn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P39"/>
  <sheetViews>
    <sheetView tabSelected="1" zoomScaleNormal="100" zoomScaleSheetLayoutView="100" zoomScalePageLayoutView="120" workbookViewId="0">
      <pane xSplit="1" ySplit="4" topLeftCell="C23" activePane="bottomRight" state="frozen"/>
      <selection activeCell="I2" sqref="I2"/>
      <selection pane="topRight" activeCell="I2" sqref="I2"/>
      <selection pane="bottomLeft" activeCell="I2" sqref="I2"/>
      <selection pane="bottomRight" activeCell="D39" sqref="D39"/>
    </sheetView>
  </sheetViews>
  <sheetFormatPr defaultColWidth="8.77734375" defaultRowHeight="14.4" x14ac:dyDescent="0.3"/>
  <cols>
    <col min="1" max="1" width="20.6640625" style="6" customWidth="1"/>
    <col min="2" max="6" width="13.44140625" style="6" customWidth="1"/>
    <col min="7" max="7" width="14.77734375" style="6" bestFit="1" customWidth="1"/>
    <col min="8" max="11" width="13.44140625" style="6" customWidth="1"/>
    <col min="12" max="12" width="13.33203125" style="6" customWidth="1"/>
    <col min="13" max="14" width="12.109375" style="6" customWidth="1"/>
    <col min="15" max="15" width="10" style="6" bestFit="1" customWidth="1"/>
    <col min="16" max="16" width="9" style="6" bestFit="1" customWidth="1"/>
    <col min="17" max="16384" width="8.77734375" style="6"/>
  </cols>
  <sheetData>
    <row r="1" spans="1:16" s="8" customFormat="1" x14ac:dyDescent="0.3">
      <c r="A1" s="8" t="str">
        <f>'Data Sheet'!B1</f>
      </c>
      <c r="H1" t="str">
        <f>UPDATE</f>
      </c>
      <c r="J1" s="3"/>
      <c r="K1" s="3"/>
      <c r="M1" s="8" t="s">
        <v>1</v>
      </c>
    </row>
    <row r="3" spans="1:16" s="2" customFormat="1" x14ac:dyDescent="0.3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  <c r="O3" s="34"/>
    </row>
    <row r="4" spans="1:16" s="8" customFormat="1" x14ac:dyDescent="0.3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  <c r="O4" s="33"/>
    </row>
    <row r="5" spans="1:16" x14ac:dyDescent="0.3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  <c r="O5" s="35"/>
    </row>
    <row r="6" spans="1:16" s="8" customFormat="1" x14ac:dyDescent="0.3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  <c r="O6" s="33">
        <f t="shared" ref="O6" si="2">SUM(C6:K6)</f>
      </c>
    </row>
    <row r="7" spans="1:16" x14ac:dyDescent="0.3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  <c r="O7" s="35">
        <f>SUM(B7:K7)</f>
      </c>
    </row>
    <row r="8" spans="1:16" x14ac:dyDescent="0.3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  <c r="O8" s="35"/>
    </row>
    <row r="9" spans="1:16" x14ac:dyDescent="0.3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  <c r="O9" s="35"/>
    </row>
    <row r="10" spans="1:16" x14ac:dyDescent="0.3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  <c r="O10" s="35"/>
    </row>
    <row r="11" spans="1:16" x14ac:dyDescent="0.3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  <c r="O11" s="35"/>
      <c r="P11" s="6" t="s">
        <v>103</v>
      </c>
    </row>
    <row r="12" spans="1:16" s="8" customFormat="1" x14ac:dyDescent="0.3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  <c r="O12" s="35"/>
      <c r="P12" s="33">
        <f>SUM(B12:K12)</f>
      </c>
    </row>
    <row r="13" spans="1:16" x14ac:dyDescent="0.3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  <c r="O13" s="35"/>
    </row>
    <row r="14" spans="1:16" x14ac:dyDescent="0.3">
      <c r="A14" s="6" t="s">
        <v>16</v>
      </c>
      <c r="B14" s="9">
        <f>IF(B15&gt;0,B15/B13,"")</f>
      </c>
      <c r="C14" s="9">
        <f t="shared" ref="C14:K14" si="3">IF(C15&gt;0,C15/C13,"")</f>
      </c>
      <c r="D14" s="9">
        <f t="shared" si="3"/>
      </c>
      <c r="E14" s="9">
        <f t="shared" si="3"/>
      </c>
      <c r="F14" s="9">
        <f t="shared" si="3"/>
      </c>
      <c r="G14" s="9">
        <f t="shared" si="3"/>
      </c>
      <c r="H14" s="9">
        <f t="shared" si="3"/>
      </c>
      <c r="I14" s="9">
        <f t="shared" si="3"/>
      </c>
      <c r="J14" s="9">
        <f t="shared" si="3"/>
      </c>
      <c r="K14" s="9">
        <f t="shared" si="3"/>
      </c>
      <c r="L14" s="9">
        <f t="shared" ref="L14" si="4">IF(L13&gt;0,L15/L13,0)</f>
      </c>
      <c r="M14" s="9">
        <f>M25</f>
      </c>
      <c r="N14" s="9">
        <f>N25</f>
      </c>
      <c r="O14" s="35"/>
    </row>
    <row r="15" spans="1:16" s="8" customFormat="1" x14ac:dyDescent="0.3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  <c r="O15" s="35"/>
    </row>
    <row r="16" spans="1:16" x14ac:dyDescent="0.3">
      <c r="O16" s="35"/>
    </row>
    <row r="17" spans="1:15" s="8" customFormat="1" x14ac:dyDescent="0.3">
      <c r="A17" s="8" t="s">
        <v>15</v>
      </c>
      <c r="O17" s="33"/>
    </row>
    <row r="18" spans="1:15" x14ac:dyDescent="0.3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  <c r="O18" s="35"/>
    </row>
    <row r="19" spans="1:15" x14ac:dyDescent="0.3">
      <c r="A19" s="6" t="s">
        <v>18</v>
      </c>
      <c r="B19" s="7">
        <f t="shared" ref="B19:L19" si="5">IF(B6&gt;0,B6/B4,0)</f>
      </c>
      <c r="C19" s="7">
        <f t="shared" ref="C19:K19" si="6">IF(C6&gt;0,C6/C4,0)</f>
      </c>
      <c r="D19" s="7">
        <f t="shared" si="6"/>
      </c>
      <c r="E19" s="7">
        <f t="shared" si="6"/>
      </c>
      <c r="F19" s="7">
        <f t="shared" si="6"/>
      </c>
      <c r="G19" s="7">
        <f t="shared" si="6"/>
      </c>
      <c r="H19" s="7">
        <f t="shared" si="6"/>
      </c>
      <c r="I19" s="7">
        <f t="shared" si="6"/>
      </c>
      <c r="J19" s="7">
        <f t="shared" si="6"/>
      </c>
      <c r="K19" s="7">
        <f t="shared" si="6"/>
      </c>
      <c r="L19" s="7">
        <f t="shared" si="5"/>
      </c>
      <c r="O19" s="35"/>
    </row>
    <row r="20" spans="1:15" x14ac:dyDescent="0.3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5" x14ac:dyDescent="0.3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5" s="2" customFormat="1" x14ac:dyDescent="0.3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5" s="8" customFormat="1" x14ac:dyDescent="0.3">
      <c r="A23" s="6"/>
      <c r="B23" s="6"/>
      <c r="C23" s="6"/>
      <c r="D23" s="6"/>
      <c r="E23" s="6"/>
      <c r="F23" s="6"/>
      <c r="G23" s="6" t="s">
        <v>22</v>
      </c>
      <c r="H23" s="7">
        <f>IF(B4=0,"",POWER($K4/B4,1/9)-1)</f>
      </c>
      <c r="I23" s="7">
        <f>IF(D4=0,"",POWER($K4/D4,1/7)-1)</f>
      </c>
      <c r="J23" s="7">
        <f>IF(F4=0,"",POWER($K4/F4,1/5)-1)</f>
      </c>
      <c r="K23" s="7">
        <f>IF(H4=0,"",POWER($K4/H4, 1/3)-1)</f>
      </c>
      <c r="L23" s="7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5" x14ac:dyDescent="0.3">
      <c r="G24" s="6" t="s">
        <v>18</v>
      </c>
      <c r="H24" s="7">
        <f>IF(SUM(B4:$K$4)=0,"",SUMPRODUCT(B19:$K$19,B4:$K$4)/SUM(B4:$K$4))</f>
      </c>
      <c r="I24" s="7">
        <f>IF(SUM(E4:$K$4)=0,"",SUMPRODUCT(E19:$K$19,E4:$K$4)/SUM(E4:$K$4))</f>
      </c>
      <c r="J24" s="7">
        <f>IF(SUM(G4:$K$4)=0,"",SUMPRODUCT(G19:$K$19,G4:$K$4)/SUM(G4:$K$4))</f>
      </c>
      <c r="K24" s="7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5" x14ac:dyDescent="0.3">
      <c r="G25" s="6" t="s">
        <v>23</v>
      </c>
      <c r="H25" s="9">
        <f>IF(ISERROR(AVERAGEIF(B14:$L14,"&gt;0")),"",AVERAGEIF(B14:$L14,"&gt;0"))</f>
      </c>
      <c r="I25" s="9">
        <f>IF(ISERROR(AVERAGEIF(E14:$L14,"&gt;0")),"",AVERAGEIF(E14:$L14,"&gt;0"))</f>
      </c>
      <c r="J25" s="9">
        <f>IF(ISERROR(AVERAGEIF(G14:$L14,"&gt;0")),"",AVERAGEIF(G14:$L14,"&gt;0"))</f>
      </c>
      <c r="K25" s="9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  <row r="27" spans="1:15" x14ac:dyDescent="0.3">
      <c r="A27" s="8" t="s">
        <v>93</v>
      </c>
      <c r="E27" s="6">
        <f t="shared" ref="E27:J27" si="7">(E33*E28*(1-E29))-E34</f>
      </c>
      <c r="F27" s="6">
        <f t="shared" si="7"/>
      </c>
      <c r="G27" s="6">
        <f t="shared" si="7"/>
      </c>
      <c r="H27" s="6">
        <f t="shared" si="7"/>
      </c>
      <c r="I27" s="6">
        <f t="shared" si="7"/>
      </c>
      <c r="J27" s="6">
        <f t="shared" si="7"/>
      </c>
      <c r="K27" s="6">
        <f>(K33*K28*(1-K29))-K34</f>
      </c>
    </row>
    <row r="28" spans="1:15" x14ac:dyDescent="0.3">
      <c r="A28" s="8" t="s">
        <v>97</v>
      </c>
      <c r="D28" s="6">
        <f t="shared" ref="D28:J28" si="8">AVERAGE(D31,C31,B31)</f>
      </c>
      <c r="E28" s="6">
        <f t="shared" si="8"/>
      </c>
      <c r="F28" s="6">
        <f t="shared" si="8"/>
      </c>
      <c r="G28" s="6">
        <f t="shared" si="8"/>
      </c>
      <c r="H28" s="6">
        <f t="shared" si="8"/>
      </c>
      <c r="I28" s="6">
        <f t="shared" si="8"/>
      </c>
      <c r="J28" s="6">
        <f t="shared" si="8"/>
      </c>
      <c r="K28" s="6">
        <f>AVERAGE(K31,J31,I31)</f>
      </c>
    </row>
    <row r="29" spans="1:15" x14ac:dyDescent="0.3">
      <c r="A29" s="8" t="s">
        <v>95</v>
      </c>
      <c r="D29" s="7">
        <f t="shared" ref="D29:J29" si="9">AVERAGE(D18,C18,B18)</f>
      </c>
      <c r="E29" s="7">
        <f t="shared" si="9"/>
      </c>
      <c r="F29" s="7">
        <f t="shared" si="9"/>
      </c>
      <c r="G29" s="7">
        <f t="shared" si="9"/>
      </c>
      <c r="H29" s="7">
        <f t="shared" si="9"/>
      </c>
      <c r="I29" s="7">
        <f t="shared" si="9"/>
      </c>
      <c r="J29" s="7">
        <f t="shared" si="9"/>
      </c>
      <c r="K29" s="7">
        <f>AVERAGE(K18,J18,I18)</f>
      </c>
    </row>
    <row r="30" spans="1:15" x14ac:dyDescent="0.3">
      <c r="A30" s="2" t="s">
        <v>96</v>
      </c>
      <c r="B30" s="6">
        <f>(B8/'Balance Sheet'!B10)*100</f>
      </c>
      <c r="C30" s="6">
        <f>(C8/'Balance Sheet'!C10)*100</f>
      </c>
      <c r="D30" s="6">
        <f>(D8/'Balance Sheet'!D10)*100</f>
      </c>
      <c r="E30" s="6">
        <f>(E8/'Balance Sheet'!E10)*100</f>
      </c>
      <c r="F30" s="6">
        <f>(F8/'Balance Sheet'!F10)*100</f>
      </c>
      <c r="G30" s="6">
        <f>(G8/'Balance Sheet'!G10)*100</f>
      </c>
      <c r="H30" s="6">
        <f>(H8/'Balance Sheet'!H10)*100</f>
      </c>
      <c r="I30" s="6">
        <f>(I8/'Balance Sheet'!I10)*100</f>
      </c>
      <c r="J30" s="6">
        <f>(J8/'Balance Sheet'!J10)*100</f>
      </c>
      <c r="K30" s="6">
        <f>(K8/'Balance Sheet'!K10)*100</f>
      </c>
    </row>
    <row r="31" spans="1:15" x14ac:dyDescent="0.3">
      <c r="A31" s="2" t="s">
        <v>94</v>
      </c>
      <c r="B31" s="6">
        <f t="shared" ref="B31:J31" si="10">(B12/B4)*100</f>
      </c>
      <c r="C31" s="6">
        <f t="shared" si="10"/>
      </c>
      <c r="D31" s="6">
        <f t="shared" si="10"/>
      </c>
      <c r="E31" s="6">
        <f t="shared" si="10"/>
      </c>
      <c r="F31" s="6">
        <f t="shared" si="10"/>
      </c>
      <c r="G31" s="6">
        <f t="shared" si="10"/>
      </c>
      <c r="H31" s="6">
        <f t="shared" si="10"/>
      </c>
      <c r="I31" s="6">
        <f t="shared" si="10"/>
      </c>
      <c r="J31" s="6">
        <f t="shared" si="10"/>
      </c>
      <c r="K31" s="6">
        <f>(K12/K4)*100</f>
      </c>
    </row>
    <row r="32" spans="1:15" x14ac:dyDescent="0.3">
      <c r="A32" s="2" t="s">
        <v>99</v>
      </c>
      <c r="C32" s="6">
        <f>C4/'Balance Sheet'!C28</f>
      </c>
      <c r="D32" s="6">
        <f>D4/'Balance Sheet'!D28</f>
      </c>
      <c r="E32" s="6">
        <f>E4/'Balance Sheet'!E28</f>
      </c>
      <c r="F32" s="6">
        <f>F4/'Balance Sheet'!F28</f>
      </c>
      <c r="G32" s="6">
        <f>G4/'Balance Sheet'!G28</f>
      </c>
      <c r="H32" s="6">
        <f>H4/'Balance Sheet'!H28</f>
      </c>
      <c r="I32" s="6">
        <f>I4/'Balance Sheet'!I28</f>
      </c>
      <c r="J32" s="6">
        <f>J4/'Balance Sheet'!J28</f>
      </c>
      <c r="K32" s="6">
        <f>K4/'Balance Sheet'!K28</f>
      </c>
    </row>
    <row r="33" spans="1:11" x14ac:dyDescent="0.3">
      <c r="A33" s="2" t="s">
        <v>100</v>
      </c>
      <c r="E33" s="6">
        <f t="shared" ref="E33:J33" si="11">AVERAGE(E32,D32,C32)</f>
      </c>
      <c r="F33" s="6">
        <f t="shared" si="11"/>
      </c>
      <c r="G33" s="6">
        <f t="shared" si="11"/>
      </c>
      <c r="H33" s="6">
        <f t="shared" si="11"/>
      </c>
      <c r="I33" s="6">
        <f t="shared" si="11"/>
      </c>
      <c r="J33" s="6">
        <f t="shared" si="11"/>
      </c>
      <c r="K33" s="6">
        <f>AVERAGE(K32,J32,I32)</f>
      </c>
    </row>
    <row r="34" spans="1:11" x14ac:dyDescent="0.3">
      <c r="A34" s="2" t="s">
        <v>101</v>
      </c>
      <c r="D34" s="6">
        <f t="shared" ref="D34:J34" si="12">AVERAGE(D30,C30,B30)</f>
      </c>
      <c r="E34" s="6">
        <f t="shared" si="12"/>
      </c>
      <c r="F34" s="6">
        <f t="shared" si="12"/>
      </c>
      <c r="G34" s="6">
        <f t="shared" si="12"/>
      </c>
      <c r="H34" s="6">
        <f t="shared" si="12"/>
      </c>
      <c r="I34" s="6">
        <f t="shared" si="12"/>
      </c>
      <c r="J34" s="6">
        <f t="shared" si="12"/>
      </c>
      <c r="K34" s="6">
        <f>AVERAGE(K30,J30,I30)</f>
      </c>
    </row>
    <row r="35" spans="1:11" x14ac:dyDescent="0.3">
      <c r="A35" s="8"/>
    </row>
    <row r="36" spans="1:11" x14ac:dyDescent="0.3">
      <c r="A36" s="2" t="s">
        <v>102</v>
      </c>
      <c r="C36" s="6">
        <f t="shared" ref="C36:J36" si="13">((C4-B4)/B4)*100</f>
      </c>
      <c r="D36" s="6">
        <f t="shared" si="13"/>
      </c>
      <c r="E36" s="6">
        <f t="shared" si="13"/>
      </c>
      <c r="F36" s="6">
        <f t="shared" si="13"/>
      </c>
      <c r="G36" s="6">
        <f t="shared" si="13"/>
      </c>
      <c r="H36" s="6">
        <f t="shared" si="13"/>
      </c>
      <c r="I36" s="6">
        <f t="shared" si="13"/>
      </c>
      <c r="J36" s="6">
        <f t="shared" si="13"/>
      </c>
      <c r="K36" s="6">
        <f>((K4-J4)/J4)*100</f>
      </c>
    </row>
    <row r="37" spans="1:11" x14ac:dyDescent="0.3">
      <c r="A37" s="2" t="s">
        <v>107</v>
      </c>
      <c r="C37" s="35">
        <f>((C12-B12)/B12)*100</f>
      </c>
      <c r="D37" s="35">
        <f t="shared" ref="D37:K37" si="14">((D12-C12)/C12)*100</f>
      </c>
      <c r="E37" s="35">
        <f t="shared" si="14"/>
      </c>
      <c r="F37" s="35">
        <f t="shared" si="14"/>
      </c>
      <c r="G37" s="35">
        <f t="shared" si="14"/>
      </c>
      <c r="H37" s="35">
        <f t="shared" si="14"/>
      </c>
      <c r="I37" s="35">
        <f t="shared" si="14"/>
      </c>
      <c r="J37" s="35">
        <f t="shared" si="14"/>
      </c>
      <c r="K37" s="35">
        <f t="shared" si="14"/>
      </c>
    </row>
    <row r="38" spans="1:11" x14ac:dyDescent="0.3">
      <c r="A38" s="2" t="s">
        <v>108</v>
      </c>
      <c r="C38" s="6">
        <f>('Data Sheet'!B18/'Data Sheet'!B17)*100</f>
      </c>
      <c r="D38" s="6">
        <f>('Data Sheet'!C18/'Data Sheet'!C17)*100</f>
      </c>
      <c r="E38" s="6">
        <f>('Data Sheet'!D18/'Data Sheet'!D17)*100</f>
      </c>
      <c r="F38" s="6">
        <f>('Data Sheet'!E18/'Data Sheet'!E17)*100</f>
      </c>
      <c r="G38" s="6">
        <f>('Data Sheet'!F18/'Data Sheet'!F17)*100</f>
      </c>
      <c r="H38" s="6">
        <f>('Data Sheet'!G18/'Data Sheet'!G17)*100</f>
      </c>
      <c r="I38" s="6">
        <f>('Data Sheet'!H18/'Data Sheet'!H17)*100</f>
      </c>
      <c r="J38" s="6">
        <f>('Data Sheet'!I18/'Data Sheet'!I17)*100</f>
      </c>
      <c r="K38" s="6">
        <f>('Data Sheet'!J18/'Data Sheet'!J17)*100</f>
      </c>
    </row>
    <row r="39" spans="1:11" x14ac:dyDescent="0.3">
      <c r="A39" s="2" t="s">
        <v>109</v>
      </c>
      <c r="C39" s="6">
        <f>(O7/P12)*100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0.6640625" style="6" customWidth="1"/>
    <col min="2" max="11" width="13.44140625" style="6" bestFit="1" customWidth="1"/>
    <col min="12" max="16384" width="8.77734375" style="6"/>
  </cols>
  <sheetData>
    <row r="1" spans="1:11" s="8" customFormat="1" x14ac:dyDescent="0.3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3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3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3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3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3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3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3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3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3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3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3">
      <c r="A14" s="2" t="s">
        <v>18</v>
      </c>
      <c r="B14" s="14">
        <f>IF(B4&gt;0,B6/B4,"")</f>
      </c>
      <c r="C14" s="14">
        <f t="shared" ref="C14:K14" si="0">IF(C4&gt;0,C6/C4,"")</f>
      </c>
      <c r="D14" s="14">
        <f t="shared" si="0"/>
      </c>
      <c r="E14" s="14">
        <f t="shared" si="0"/>
      </c>
      <c r="F14" s="14">
        <f t="shared" si="0"/>
      </c>
      <c r="G14" s="14">
        <f t="shared" si="0"/>
      </c>
      <c r="H14" s="14">
        <f t="shared" si="0"/>
      </c>
      <c r="I14" s="14">
        <f t="shared" si="0"/>
      </c>
      <c r="J14" s="14">
        <f t="shared" si="0"/>
      </c>
      <c r="K14" s="14">
        <f t="shared" si="0"/>
      </c>
    </row>
    <row r="22" s="30" customFormat="1" x14ac:dyDescent="0.3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30"/>
  <sheetViews>
    <sheetView zoomScale="102" zoomScaleNormal="102" workbookViewId="0">
      <pane xSplit="1" ySplit="3" topLeftCell="B13" activePane="bottomRight" state="frozen"/>
      <selection activeCell="C4" sqref="C4"/>
      <selection pane="topRight" activeCell="C4" sqref="C4"/>
      <selection pane="bottomLeft" activeCell="C4" sqref="C4"/>
      <selection pane="bottomRight" activeCell="A30" sqref="A30"/>
    </sheetView>
  </sheetViews>
  <sheetFormatPr defaultColWidth="8.77734375" defaultRowHeight="14.4" x14ac:dyDescent="0.3"/>
  <cols>
    <col min="1" max="1" width="26.44140625" style="11" customWidth="1"/>
    <col min="2" max="2" width="13.44140625" style="11" customWidth="1"/>
    <col min="3" max="11" width="15.44140625" style="11" customWidth="1"/>
    <col min="12" max="16384" width="8.77734375" style="11"/>
  </cols>
  <sheetData>
    <row r="1" spans="1:11" s="8" customFormat="1" x14ac:dyDescent="0.3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3">
      <c r="G2" s="8"/>
      <c r="H2" s="8"/>
    </row>
    <row r="3" spans="1:11" s="18" customFormat="1" x14ac:dyDescent="0.3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3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3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3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3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3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3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3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3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3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3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3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3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3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3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3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3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3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3">
      <c r="A23" s="8" t="s">
        <v>59</v>
      </c>
      <c r="B23" s="14">
        <f>IF(SUM('Balance Sheet'!B4:B5)&gt;0,'Profit &amp; Loss'!B12/SUM('Balance Sheet'!B4:B5),"")</f>
      </c>
      <c r="C23" s="14">
        <f>IF(SUM('Balance Sheet'!C4:C5)&gt;0,'Profit &amp; Loss'!C12/SUM('Balance Sheet'!C4:C5),"")</f>
      </c>
      <c r="D23" s="14">
        <f>IF(SUM('Balance Sheet'!D4:D5)&gt;0,'Profit &amp; Loss'!D12/SUM('Balance Sheet'!D4:D5),"")</f>
      </c>
      <c r="E23" s="14">
        <f>IF(SUM('Balance Sheet'!E4:E5)&gt;0,'Profit &amp; Loss'!E12/SUM('Balance Sheet'!E4:E5),"")</f>
      </c>
      <c r="F23" s="14">
        <f>IF(SUM('Balance Sheet'!F4:F5)&gt;0,'Profit &amp; Loss'!F12/SUM('Balance Sheet'!F4:F5),"")</f>
      </c>
      <c r="G23" s="14">
        <f>IF(SUM('Balance Sheet'!G4:G5)&gt;0,'Profit &amp; Loss'!G12/SUM('Balance Sheet'!G4:G5),"")</f>
      </c>
      <c r="H23" s="14">
        <f>IF(SUM('Balance Sheet'!H4:H5)&gt;0,'Profit &amp; Loss'!H12/SUM('Balance Sheet'!H4:H5),"")</f>
      </c>
      <c r="I23" s="14">
        <f>IF(SUM('Balance Sheet'!I4:I5)&gt;0,'Profit &amp; Loss'!I12/SUM('Balance Sheet'!I4:I5),"")</f>
      </c>
      <c r="J23" s="14">
        <f>IF(SUM('Balance Sheet'!J4:J5)&gt;0,'Profit &amp; Loss'!J12/SUM('Balance Sheet'!J4:J5),"")</f>
      </c>
      <c r="K23" s="14">
        <f>IF(SUM('Balance Sheet'!K4:K5)&gt;0,'Profit &amp; Loss'!K12/SUM('Balance Sheet'!K4:K5),"")</f>
      </c>
    </row>
    <row r="24" spans="1:11" s="8" customFormat="1" x14ac:dyDescent="0.3">
      <c r="A24" s="8" t="s">
        <v>60</v>
      </c>
      <c r="B24" s="14"/>
      <c r="C24" s="14">
        <f>IF((B4+B5+B6+C4+C5+C6)&gt;0,('Profit &amp; Loss'!C10+'Profit &amp; Loss'!C9)*2/(B4+B5+B6+C4+C5+C6),"")</f>
      </c>
      <c r="D24" s="14">
        <f>IF((C4+C5+C6+D4+D5+D6)&gt;0,('Profit &amp; Loss'!D10+'Profit &amp; Loss'!D9)*2/(C4+C5+C6+D4+D5+D6),"")</f>
      </c>
      <c r="E24" s="14">
        <f>IF((D4+D5+D6+E4+E5+E6)&gt;0,('Profit &amp; Loss'!E10+'Profit &amp; Loss'!E9)*2/(D4+D5+D6+E4+E5+E6),"")</f>
      </c>
      <c r="F24" s="14">
        <f>IF((E4+E5+E6+F4+F5+F6)&gt;0,('Profit &amp; Loss'!F10+'Profit &amp; Loss'!F9)*2/(E4+E5+E6+F4+F5+F6),"")</f>
      </c>
      <c r="G24" s="14">
        <f>IF((F4+F5+F6+G4+G5+G6)&gt;0,('Profit &amp; Loss'!G10+'Profit &amp; Loss'!G9)*2/(F4+F5+F6+G4+G5+G6),"")</f>
      </c>
      <c r="H24" s="14">
        <f>IF((G4+G5+G6+H4+H5+H6)&gt;0,('Profit &amp; Loss'!H10+'Profit &amp; Loss'!H9)*2/(G4+G5+G6+H4+H5+H6),"")</f>
      </c>
      <c r="I24" s="14">
        <f>IF((H4+H5+H6+I4+I5+I6)&gt;0,('Profit &amp; Loss'!I10+'Profit &amp; Loss'!I9)*2/(H4+H5+H6+I4+I5+I6),"")</f>
      </c>
      <c r="J24" s="14">
        <f>IF((I4+I5+I6+J4+J5+J6)&gt;0,('Profit &amp; Loss'!J10+'Profit &amp; Loss'!J9)*2/(I4+I5+I6+J4+J5+J6),"")</f>
      </c>
      <c r="K24" s="14">
        <f>IF((J4+J5+J6+K4+K5+K6)&gt;0,('Profit &amp; Loss'!K10+'Profit &amp; Loss'!K9)*2/(J4+J5+J6+K4+K5+K6),"")</f>
      </c>
    </row>
    <row r="25" spans="1:11" s="18" customFormat="1" x14ac:dyDescent="0.3"/>
    <row r="28" spans="1:11" x14ac:dyDescent="0.3">
      <c r="A28" s="8" t="s">
        <v>98</v>
      </c>
      <c r="C28" s="32">
        <f t="shared" ref="C28:J28" si="1">AVERAGE(C10,B10)</f>
      </c>
      <c r="D28" s="32">
        <f t="shared" si="1"/>
      </c>
      <c r="E28" s="32">
        <f t="shared" si="1"/>
      </c>
      <c r="F28" s="32">
        <f t="shared" si="1"/>
      </c>
      <c r="G28" s="32">
        <f t="shared" si="1"/>
      </c>
      <c r="H28" s="32">
        <f t="shared" si="1"/>
      </c>
      <c r="I28" s="32">
        <f t="shared" si="1"/>
      </c>
      <c r="J28" s="32">
        <f t="shared" si="1"/>
      </c>
      <c r="K28" s="32">
        <f>AVERAGE(K10,J10)</f>
      </c>
    </row>
    <row r="29" spans="1:11" x14ac:dyDescent="0.3">
      <c r="A29" s="8" t="s">
        <v>106</v>
      </c>
      <c r="B29" s="11">
        <f>(B11/(B10+'Profit &amp; Loss'!B8))*100</f>
      </c>
      <c r="C29" s="11">
        <f>(C11/(C10+'Profit &amp; Loss'!C8))*100</f>
      </c>
      <c r="D29" s="11">
        <f>(D11/(D10+'Profit &amp; Loss'!D8))*100</f>
      </c>
      <c r="E29" s="11">
        <f>(E11/(E10+'Profit &amp; Loss'!E8))*100</f>
      </c>
      <c r="F29" s="11">
        <f>(F11/(F10+'Profit &amp; Loss'!F8))*100</f>
      </c>
      <c r="G29" s="11">
        <f>(G11/(G10+'Profit &amp; Loss'!G8))*100</f>
      </c>
      <c r="H29" s="11">
        <f>(H11/(H10+'Profit &amp; Loss'!H8))*100</f>
      </c>
      <c r="I29" s="11">
        <f>(I11/(I10+'Profit &amp; Loss'!I8))*100</f>
      </c>
      <c r="J29" s="11">
        <f>(J11/(J10+'Profit &amp; Loss'!J8))*100</f>
      </c>
      <c r="K29" s="11">
        <f>(K11/(K10+'Profit &amp; Loss'!K8))*100</f>
      </c>
    </row>
    <row r="30" spans="1:11" x14ac:dyDescent="0.3">
      <c r="A30" s="8"/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L24"/>
  <sheetViews>
    <sheetView zoomScale="150" zoomScaleNormal="150" zoomScalePageLayoutView="150" workbookViewId="0">
      <pane xSplit="1" ySplit="3" topLeftCell="B7" activePane="bottomRight" state="frozen"/>
      <selection pane="topRight" activeCell="B1" sqref="B1"/>
      <selection pane="bottomLeft" activeCell="A4" sqref="A4"/>
      <selection pane="bottomRight" activeCell="B11" sqref="B11"/>
    </sheetView>
  </sheetViews>
  <sheetFormatPr defaultColWidth="8.77734375" defaultRowHeight="14.4" x14ac:dyDescent="0.3"/>
  <cols>
    <col min="1" max="1" width="26.77734375" style="6" bestFit="1" customWidth="1"/>
    <col min="2" max="6" width="13.44140625" style="6" customWidth="1"/>
    <col min="7" max="11" width="13.44140625" style="6" bestFit="1" customWidth="1"/>
    <col min="12" max="12" width="10" style="6" bestFit="1" customWidth="1"/>
    <col min="13" max="16384" width="8.77734375" style="6"/>
  </cols>
  <sheetData>
    <row r="1" spans="1:12" s="8" customFormat="1" x14ac:dyDescent="0.3">
      <c r="A1" s="8" t="str">
        <f>'Balance Sheet'!A1</f>
      </c>
      <c r="E1" t="str">
        <f>UPDATE</f>
      </c>
      <c r="F1"/>
      <c r="J1" s="4" t="s">
        <v>1</v>
      </c>
      <c r="K1" s="4"/>
    </row>
    <row r="3" spans="1:12" s="2" customFormat="1" x14ac:dyDescent="0.3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2" s="8" customFormat="1" x14ac:dyDescent="0.3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  <c r="L4" s="33">
        <f>SUM(B4:K4)</f>
      </c>
    </row>
    <row r="5" spans="1:12" x14ac:dyDescent="0.3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2" x14ac:dyDescent="0.3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2" s="8" customFormat="1" x14ac:dyDescent="0.3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  <c r="L7" s="33">
        <f>SUM(B7:K7)</f>
      </c>
    </row>
    <row r="8" spans="1:12" x14ac:dyDescent="0.3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2" x14ac:dyDescent="0.3">
      <c r="A9" s="2" t="s">
        <v>104</v>
      </c>
      <c r="B9" s="6">
        <f>(B4/'Profit &amp; Loss'!C6)*100</f>
      </c>
      <c r="C9" s="6">
        <f>(C4/'Profit &amp; Loss'!D6)*100</f>
      </c>
      <c r="D9" s="6">
        <f>(D4/'Profit &amp; Loss'!E6)*100</f>
      </c>
      <c r="E9" s="6">
        <f>(E4/'Profit &amp; Loss'!F6)*100</f>
      </c>
      <c r="F9" s="6">
        <f>(F4/'Profit &amp; Loss'!G6)*100</f>
      </c>
      <c r="G9" s="6">
        <f>(G4/'Profit &amp; Loss'!H6)*100</f>
      </c>
      <c r="H9" s="6">
        <f>(H4/'Profit &amp; Loss'!I6)*100</f>
      </c>
      <c r="I9" s="6">
        <f>(I4/'Profit &amp; Loss'!J6)*100</f>
      </c>
      <c r="J9" s="6">
        <f>(J4/'Profit &amp; Loss'!K6)*100</f>
      </c>
      <c r="K9" s="6">
        <f>(K4/'Profit &amp; Loss'!L6)*100</f>
      </c>
      <c r="L9" s="8">
        <f>(L4/'Profit &amp; Loss'!O6)*100</f>
      </c>
    </row>
    <row r="10" spans="1:12" x14ac:dyDescent="0.3">
      <c r="A10" s="2" t="s">
        <v>105</v>
      </c>
      <c r="B10" s="6">
        <f>AVERAGE(K9,J9,I9,H9,G9)</f>
      </c>
    </row>
    <row r="24" s="29" customFormat="1" x14ac:dyDescent="0.3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C8" sqref="C8"/>
    </sheetView>
  </sheetViews>
  <sheetFormatPr defaultColWidth="8.77734375" defaultRowHeight="14.4" x14ac:dyDescent="0.3"/>
  <cols>
    <col min="1" max="1" width="8.77734375" style="8"/>
    <col min="2" max="2" width="10.44140625" style="11" customWidth="1"/>
    <col min="3" max="3" width="13.33203125" style="26" customWidth="1"/>
    <col min="4" max="5" width="8.77734375" style="11"/>
    <col min="6" max="6" width="6.77734375" style="11" customWidth="1"/>
    <col min="7" max="16384" width="8.77734375" style="11"/>
  </cols>
  <sheetData>
    <row r="1" spans="1:7" ht="21" x14ac:dyDescent="0.4">
      <c r="A1" s="25" t="s">
        <v>56</v>
      </c>
    </row>
    <row r="3" spans="1:7" x14ac:dyDescent="0.3">
      <c r="A3" s="8" t="s">
        <v>48</v>
      </c>
    </row>
    <row r="4" spans="1:7" x14ac:dyDescent="0.3">
      <c r="B4" s="11" t="s">
        <v>90</v>
      </c>
    </row>
    <row r="5" spans="1:7" x14ac:dyDescent="0.3">
      <c r="B5" s="11" t="s">
        <v>49</v>
      </c>
    </row>
    <row r="7" spans="1:7" x14ac:dyDescent="0.3">
      <c r="A7" s="8" t="s">
        <v>50</v>
      </c>
    </row>
    <row r="8" spans="1:7" x14ac:dyDescent="0.3">
      <c r="B8" s="11" t="s">
        <v>51</v>
      </c>
      <c r="C8" s="27" t="s">
        <v>91</v>
      </c>
    </row>
    <row r="10" spans="1:7" x14ac:dyDescent="0.3">
      <c r="A10" s="8" t="s">
        <v>52</v>
      </c>
    </row>
    <row r="11" spans="1:7" x14ac:dyDescent="0.3">
      <c r="B11" s="11" t="s">
        <v>53</v>
      </c>
    </row>
    <row r="14" spans="1:7" x14ac:dyDescent="0.3">
      <c r="A14" s="8" t="s">
        <v>54</v>
      </c>
    </row>
    <row r="15" spans="1:7" x14ac:dyDescent="0.3">
      <c r="B15" s="11" t="s">
        <v>55</v>
      </c>
    </row>
    <row r="16" spans="1:7" x14ac:dyDescent="0.3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B11" activePane="bottomRight" state="frozen"/>
      <selection activeCell="C4" sqref="C4"/>
      <selection pane="topRight" activeCell="C4" sqref="C4"/>
      <selection pane="bottomLeft" activeCell="C4" sqref="C4"/>
      <selection pane="bottomRight" activeCell="B6" sqref="B6"/>
    </sheetView>
  </sheetViews>
  <sheetFormatPr defaultColWidth="8.77734375" defaultRowHeight="14.4" x14ac:dyDescent="0.3"/>
  <cols>
    <col min="1" max="1" width="27.6640625" style="5" bestFit="1" customWidth="1"/>
    <col min="2" max="11" width="13.44140625" style="5" bestFit="1" customWidth="1"/>
    <col min="12" max="16384" width="8.77734375" style="5"/>
  </cols>
  <sheetData>
    <row r="1" spans="1:11" s="1" customFormat="1" x14ac:dyDescent="0.3">
      <c r="A1" s="1" t="s">
        <v>0</v>
      </c>
      <c r="B1" s="1" t="s">
        <v>63</v>
      </c>
      <c r="E1" s="36" t="str">
        <f>IF(B2&lt;&gt;B3, "A NEW VERSION OF THE WORKSHEET IS AVAILABLE", "")</f>
      </c>
      <c r="F1" s="36"/>
      <c r="G1" s="36"/>
      <c r="H1" s="36"/>
      <c r="I1" s="36"/>
      <c r="J1" s="36"/>
      <c r="K1" s="36"/>
    </row>
    <row r="2" spans="1:11" x14ac:dyDescent="0.3">
      <c r="A2" s="1" t="s">
        <v>61</v>
      </c>
      <c r="B2" s="5">
        <v>2.1</v>
      </c>
      <c r="E2" s="37" t="s">
        <v>36</v>
      </c>
      <c r="F2" s="37"/>
      <c r="G2" s="37"/>
      <c r="H2" s="37"/>
      <c r="I2" s="37"/>
      <c r="J2" s="37"/>
      <c r="K2" s="37"/>
    </row>
    <row r="3" spans="1:11" x14ac:dyDescent="0.3">
      <c r="A3" s="1" t="s">
        <v>62</v>
      </c>
      <c r="B3" s="5">
        <v>2.1</v>
      </c>
    </row>
    <row r="4" spans="1:11" x14ac:dyDescent="0.3">
      <c r="A4" s="1"/>
    </row>
    <row r="5" spans="1:11" x14ac:dyDescent="0.3">
      <c r="A5" s="1" t="s">
        <v>64</v>
      </c>
    </row>
    <row r="6" spans="1:11" x14ac:dyDescent="0.3">
      <c r="A6" s="5" t="s">
        <v>42</v>
      </c>
      <c r="B6" s="5">
        <f>IF(B9&gt;0, B9/B8, 0)</f>
      </c>
    </row>
    <row r="7" spans="1:11" x14ac:dyDescent="0.3">
      <c r="A7" s="5" t="s">
        <v>31</v>
      </c>
      <c r="B7">
        <v>1.00</v>
      </c>
    </row>
    <row r="8" spans="1:11" x14ac:dyDescent="0.3">
      <c r="A8" s="5" t="s">
        <v>43</v>
      </c>
      <c r="B8">
        <v>2452.70</v>
      </c>
    </row>
    <row r="9" spans="1:11" x14ac:dyDescent="0.3">
      <c r="A9" s="5" t="s">
        <v>79</v>
      </c>
      <c r="B9">
        <v>887408.33</v>
      </c>
    </row>
    <row r="15" spans="1:11" x14ac:dyDescent="0.3">
      <c r="A15" s="1" t="s">
        <v>37</v>
      </c>
    </row>
    <row r="16" spans="1:11" s="24" customFormat="1" x14ac:dyDescent="0.3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1" s="9" customFormat="1" x14ac:dyDescent="0.3">
      <c r="A17" s="9" t="s">
        <v>6</v>
      </c>
      <c r="B17">
        <v>117966.0</v>
      </c>
      <c r="C17">
        <v>123104.0</v>
      </c>
      <c r="D17">
        <v>146463.0</v>
      </c>
      <c r="E17">
        <v>156949.0</v>
      </c>
      <c r="F17">
        <v>164177.0</v>
      </c>
      <c r="G17">
        <v>191754.0</v>
      </c>
      <c r="H17">
        <v>225458.0</v>
      </c>
      <c r="I17">
        <v>240893.0</v>
      </c>
      <c r="J17">
        <v>255324.0</v>
      </c>
      <c r="K17">
        <v>267021.0</v>
      </c>
    </row>
    <row r="18" spans="1:11" s="9" customFormat="1" x14ac:dyDescent="0.3">
      <c r="A18" s="5" t="s">
        <v>80</v>
      </c>
      <c r="B18">
        <v>94.0</v>
      </c>
      <c r="C18">
        <v>86.0</v>
      </c>
      <c r="D18">
        <v>40.0</v>
      </c>
      <c r="E18">
        <v>18.0</v>
      </c>
      <c r="F18">
        <v>14.0</v>
      </c>
      <c r="G18">
        <v>29.0</v>
      </c>
      <c r="H18">
        <v>37.0</v>
      </c>
      <c r="I18">
        <v>42.0</v>
      </c>
      <c r="J18">
        <v>49.0</v>
      </c>
      <c r="K18">
        <v>43.0</v>
      </c>
    </row>
    <row r="19" spans="1:11" s="9" customFormat="1" x14ac:dyDescent="0.3">
      <c r="A19" s="5" t="s">
        <v>81</v>
      </c>
      <c r="B19">
        <v>1.0</v>
      </c>
      <c r="C19"/>
      <c r="D19"/>
      <c r="E19"/>
      <c r="F19"/>
      <c r="G19"/>
      <c r="H19"/>
      <c r="I19"/>
      <c r="J19"/>
      <c r="K19"/>
    </row>
    <row r="20" spans="1:11" s="9" customFormat="1" x14ac:dyDescent="0.3">
      <c r="A20" s="5" t="s">
        <v>82</v>
      </c>
      <c r="B20"/>
      <c r="C20"/>
      <c r="D20"/>
      <c r="E20"/>
      <c r="F20"/>
      <c r="G20"/>
      <c r="H20"/>
      <c r="I20"/>
      <c r="J20"/>
      <c r="K20"/>
    </row>
    <row r="21" spans="1:11" s="9" customFormat="1" x14ac:dyDescent="0.3">
      <c r="A21" s="5" t="s">
        <v>83</v>
      </c>
      <c r="B21">
        <v>2715.0</v>
      </c>
      <c r="C21">
        <v>2614.0</v>
      </c>
      <c r="D21">
        <v>2230.0</v>
      </c>
      <c r="E21">
        <v>1887.0</v>
      </c>
      <c r="F21">
        <v>1448.0</v>
      </c>
      <c r="G21">
        <v>1134.0</v>
      </c>
      <c r="H21">
        <v>1844.0</v>
      </c>
      <c r="I21">
        <v>3660.0</v>
      </c>
      <c r="J21">
        <v>11599.0</v>
      </c>
      <c r="K21">
        <v>4356.0</v>
      </c>
    </row>
    <row r="22" spans="1:11" s="9" customFormat="1" x14ac:dyDescent="0.3">
      <c r="A22" s="5" t="s">
        <v>84</v>
      </c>
      <c r="B22">
        <v>61621.0</v>
      </c>
      <c r="C22">
        <v>66396.0</v>
      </c>
      <c r="D22">
        <v>78246.0</v>
      </c>
      <c r="E22">
        <v>85952.0</v>
      </c>
      <c r="F22">
        <v>91814.0</v>
      </c>
      <c r="G22">
        <v>107554.0</v>
      </c>
      <c r="H22">
        <v>127522.0</v>
      </c>
      <c r="I22">
        <v>140131.0</v>
      </c>
      <c r="J22">
        <v>145788.0</v>
      </c>
      <c r="K22">
        <v>154994.0</v>
      </c>
    </row>
    <row r="23" spans="1:11" s="9" customFormat="1" x14ac:dyDescent="0.3">
      <c r="A23" s="5" t="s">
        <v>85</v>
      </c>
      <c r="B23">
        <v>16392.0</v>
      </c>
      <c r="C23">
        <v>16808.0</v>
      </c>
      <c r="D23">
        <v>20387.0</v>
      </c>
      <c r="E23">
        <v>20527.0</v>
      </c>
      <c r="F23">
        <v>18322.0</v>
      </c>
      <c r="G23">
        <v>23187.0</v>
      </c>
      <c r="H23">
        <v>28913.0</v>
      </c>
      <c r="I23">
        <v>24151.0</v>
      </c>
      <c r="J23">
        <v>20729.0</v>
      </c>
      <c r="K23">
        <v>24434.0</v>
      </c>
    </row>
    <row r="24" spans="1:11" s="9" customFormat="1" x14ac:dyDescent="0.3">
      <c r="A24" s="5" t="s">
        <v>86</v>
      </c>
      <c r="B24">
        <v>4834.0</v>
      </c>
      <c r="C24">
        <v>4684.0</v>
      </c>
      <c r="D24">
        <v>6054.0</v>
      </c>
      <c r="E24">
        <v>6456.0</v>
      </c>
      <c r="F24">
        <v>6033.0</v>
      </c>
      <c r="G24">
        <v>6793.0</v>
      </c>
      <c r="H24">
        <v>7883.0</v>
      </c>
      <c r="I24">
        <v>8613.0</v>
      </c>
      <c r="J24">
        <v>9752.0</v>
      </c>
      <c r="K24">
        <v>10796.0</v>
      </c>
    </row>
    <row r="25" spans="1:11" s="9" customFormat="1" x14ac:dyDescent="0.3">
      <c r="A25" s="9" t="s">
        <v>9</v>
      </c>
      <c r="B25">
        <v>4221.0</v>
      </c>
      <c r="C25">
        <v>3642.0</v>
      </c>
      <c r="D25">
        <v>4311.0</v>
      </c>
      <c r="E25">
        <v>4592.0</v>
      </c>
      <c r="F25">
        <v>1916.0</v>
      </c>
      <c r="G25">
        <v>4018.0</v>
      </c>
      <c r="H25">
        <v>3449.0</v>
      </c>
      <c r="I25">
        <v>3464.0</v>
      </c>
      <c r="J25">
        <v>3962.0</v>
      </c>
      <c r="K25">
        <v>-124.0</v>
      </c>
    </row>
    <row r="26" spans="1:11" s="9" customFormat="1" x14ac:dyDescent="0.3">
      <c r="A26" s="9" t="s">
        <v>10</v>
      </c>
      <c r="B26">
        <v>1987.0</v>
      </c>
      <c r="C26">
        <v>2014.0</v>
      </c>
      <c r="D26">
        <v>2056.0</v>
      </c>
      <c r="E26">
        <v>3529.0</v>
      </c>
      <c r="F26">
        <v>4065.0</v>
      </c>
      <c r="G26">
        <v>4604.0</v>
      </c>
      <c r="H26">
        <v>5022.0</v>
      </c>
      <c r="I26">
        <v>4985.0</v>
      </c>
      <c r="J26">
        <v>5242.0</v>
      </c>
      <c r="K26">
        <v>5560.0</v>
      </c>
    </row>
    <row r="27" spans="1:11" s="9" customFormat="1" x14ac:dyDescent="0.3">
      <c r="A27" s="9" t="s">
        <v>11</v>
      </c>
      <c r="B27">
        <v>32.0</v>
      </c>
      <c r="C27">
        <v>52.0</v>
      </c>
      <c r="D27">
        <v>198.0</v>
      </c>
      <c r="E27">
        <v>924.0</v>
      </c>
      <c r="F27">
        <v>637.0</v>
      </c>
      <c r="G27">
        <v>784.0</v>
      </c>
      <c r="H27">
        <v>779.0</v>
      </c>
      <c r="I27">
        <v>778.0</v>
      </c>
      <c r="J27">
        <v>796.0</v>
      </c>
      <c r="K27">
        <v>1227.0</v>
      </c>
    </row>
    <row r="28" spans="1:11" s="9" customFormat="1" x14ac:dyDescent="0.3">
      <c r="A28" s="9" t="s">
        <v>12</v>
      </c>
      <c r="B28">
        <v>34513.0</v>
      </c>
      <c r="C28">
        <v>34092.0</v>
      </c>
      <c r="D28">
        <v>41563.0</v>
      </c>
      <c r="E28">
        <v>42248.0</v>
      </c>
      <c r="F28">
        <v>43760.0</v>
      </c>
      <c r="G28">
        <v>51687.0</v>
      </c>
      <c r="H28">
        <v>56907.0</v>
      </c>
      <c r="I28">
        <v>61997.0</v>
      </c>
      <c r="J28">
        <v>65331.0</v>
      </c>
      <c r="K28">
        <v>65487.0</v>
      </c>
    </row>
    <row r="29" spans="1:11" s="9" customFormat="1" x14ac:dyDescent="0.3">
      <c r="A29" s="9" t="s">
        <v>13</v>
      </c>
      <c r="B29">
        <v>8156.0</v>
      </c>
      <c r="C29">
        <v>8212.0</v>
      </c>
      <c r="D29">
        <v>10001.0</v>
      </c>
      <c r="E29">
        <v>9801.0</v>
      </c>
      <c r="F29">
        <v>11198.0</v>
      </c>
      <c r="G29">
        <v>13238.0</v>
      </c>
      <c r="H29">
        <v>14604.0</v>
      </c>
      <c r="I29">
        <v>15898.0</v>
      </c>
      <c r="J29">
        <v>16534.0</v>
      </c>
      <c r="K29">
        <v>16033.0</v>
      </c>
    </row>
    <row r="30" spans="1:11" s="9" customFormat="1" x14ac:dyDescent="0.3">
      <c r="A30" s="9" t="s">
        <v>14</v>
      </c>
      <c r="B30">
        <v>26289.0</v>
      </c>
      <c r="C30">
        <v>25826.0</v>
      </c>
      <c r="D30">
        <v>31472.0</v>
      </c>
      <c r="E30">
        <v>32340.0</v>
      </c>
      <c r="F30">
        <v>32430.0</v>
      </c>
      <c r="G30">
        <v>38327.0</v>
      </c>
      <c r="H30">
        <v>42147.0</v>
      </c>
      <c r="I30">
        <v>45908.0</v>
      </c>
      <c r="J30">
        <v>48553.0</v>
      </c>
      <c r="K30">
        <v>49210.0</v>
      </c>
    </row>
    <row r="31" spans="1:11" s="9" customFormat="1" x14ac:dyDescent="0.3">
      <c r="A31" s="9" t="s">
        <v>70</v>
      </c>
      <c r="B31">
        <v>9259.0</v>
      </c>
      <c r="C31">
        <v>9550.0</v>
      </c>
      <c r="D31">
        <v>11250.0</v>
      </c>
      <c r="E31">
        <v>27375.0</v>
      </c>
      <c r="F31">
        <v>14060.0</v>
      </c>
      <c r="G31">
        <v>15738.0</v>
      </c>
      <c r="H31">
        <v>42090.0</v>
      </c>
      <c r="I31">
        <v>26426.0</v>
      </c>
      <c r="J31">
        <v>45612.0</v>
      </c>
      <c r="K31">
        <v>39820.0</v>
      </c>
    </row>
    <row r="32" spans="1:11" s="9" customFormat="1" x14ac:dyDescent="0.3"/>
    <row r="33" spans="1:11" x14ac:dyDescent="0.3">
      <c r="A33" s="9"/>
    </row>
    <row r="34" spans="1:11" x14ac:dyDescent="0.3">
      <c r="A34" s="9"/>
    </row>
    <row r="35" spans="1:11" x14ac:dyDescent="0.3">
      <c r="A35" s="9"/>
    </row>
    <row r="36" spans="1:11" x14ac:dyDescent="0.3">
      <c r="A36" s="9"/>
    </row>
    <row r="37" spans="1:11" x14ac:dyDescent="0.3">
      <c r="A37" s="9"/>
    </row>
    <row r="38" spans="1:11" x14ac:dyDescent="0.3">
      <c r="A38" s="9"/>
    </row>
    <row r="39" spans="1:11" x14ac:dyDescent="0.3">
      <c r="A39" s="9"/>
    </row>
    <row r="40" spans="1:11" x14ac:dyDescent="0.3">
      <c r="A40" s="1" t="s">
        <v>39</v>
      </c>
    </row>
    <row r="41" spans="1:11" s="24" customFormat="1" x14ac:dyDescent="0.3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3">
      <c r="A42" s="9" t="s">
        <v>6</v>
      </c>
      <c r="B42">
        <v>61237.0</v>
      </c>
      <c r="C42">
        <v>62613.0</v>
      </c>
      <c r="D42">
        <v>64259.0</v>
      </c>
      <c r="E42">
        <v>63973.0</v>
      </c>
      <c r="F42">
        <v>64479.0</v>
      </c>
      <c r="G42">
        <v>63437.0</v>
      </c>
      <c r="H42">
        <v>65799.0</v>
      </c>
      <c r="I42">
        <v>67087.0</v>
      </c>
      <c r="J42">
        <v>70698.0</v>
      </c>
      <c r="K42">
        <v>72275.0</v>
      </c>
    </row>
    <row r="43" spans="1:11" s="9" customFormat="1" x14ac:dyDescent="0.3">
      <c r="A43" s="9" t="s">
        <v>7</v>
      </c>
      <c r="B43">
        <v>44073.0</v>
      </c>
      <c r="C43">
        <v>45951.0</v>
      </c>
      <c r="D43">
        <v>47528.0</v>
      </c>
      <c r="E43">
        <v>46939.0</v>
      </c>
      <c r="F43">
        <v>47499.0</v>
      </c>
      <c r="G43">
        <v>46562.0</v>
      </c>
      <c r="H43">
        <v>47821.0</v>
      </c>
      <c r="I43">
        <v>48818.0</v>
      </c>
      <c r="J43">
        <v>51422.0</v>
      </c>
      <c r="K43">
        <v>53719.0</v>
      </c>
    </row>
    <row r="44" spans="1:11" s="9" customFormat="1" x14ac:dyDescent="0.3">
      <c r="A44" s="9" t="s">
        <v>9</v>
      </c>
      <c r="B44">
        <v>1157.0</v>
      </c>
      <c r="C44">
        <v>962.0</v>
      </c>
      <c r="D44">
        <v>729.0</v>
      </c>
      <c r="E44">
        <v>1243.0</v>
      </c>
      <c r="F44">
        <v>1028.0</v>
      </c>
      <c r="G44">
        <v>1660.0</v>
      </c>
      <c r="H44">
        <v>-268.0</v>
      </c>
      <c r="I44">
        <v>-2273.0</v>
      </c>
      <c r="J44">
        <v>757.0</v>
      </c>
      <c r="K44">
        <v>900.0</v>
      </c>
    </row>
    <row r="45" spans="1:11" s="9" customFormat="1" x14ac:dyDescent="0.3">
      <c r="A45" s="9" t="s">
        <v>10</v>
      </c>
      <c r="B45">
        <v>1246.0</v>
      </c>
      <c r="C45">
        <v>1220.0</v>
      </c>
      <c r="D45">
        <v>1266.0</v>
      </c>
      <c r="E45">
        <v>1377.0</v>
      </c>
      <c r="F45">
        <v>1379.0</v>
      </c>
      <c r="G45">
        <v>1361.0</v>
      </c>
      <c r="H45">
        <v>1413.0</v>
      </c>
      <c r="I45">
        <v>1380.0</v>
      </c>
      <c r="J45">
        <v>1406.0</v>
      </c>
      <c r="K45">
        <v>1239.0</v>
      </c>
    </row>
    <row r="46" spans="1:11" s="9" customFormat="1" x14ac:dyDescent="0.3">
      <c r="A46" s="9" t="s">
        <v>11</v>
      </c>
      <c r="B46">
        <v>226.0</v>
      </c>
      <c r="C46">
        <v>173.0</v>
      </c>
      <c r="D46">
        <v>162.0</v>
      </c>
      <c r="E46">
        <v>234.0</v>
      </c>
      <c r="F46">
        <v>227.0</v>
      </c>
      <c r="G46">
        <v>195.0</v>
      </c>
      <c r="H46">
        <v>229.0</v>
      </c>
      <c r="I46">
        <v>538.0</v>
      </c>
      <c r="J46">
        <v>265.0</v>
      </c>
      <c r="K46">
        <v>273.0</v>
      </c>
    </row>
    <row r="47" spans="1:11" s="9" customFormat="1" x14ac:dyDescent="0.3">
      <c r="A47" s="9" t="s">
        <v>12</v>
      </c>
      <c r="B47">
        <v>16849.0</v>
      </c>
      <c r="C47">
        <v>16231.0</v>
      </c>
      <c r="D47">
        <v>16032.0</v>
      </c>
      <c r="E47">
        <v>16666.0</v>
      </c>
      <c r="F47">
        <v>16402.0</v>
      </c>
      <c r="G47">
        <v>16979.0</v>
      </c>
      <c r="H47">
        <v>16068.0</v>
      </c>
      <c r="I47">
        <v>14078.0</v>
      </c>
      <c r="J47">
        <v>18362.0</v>
      </c>
      <c r="K47">
        <v>17944.0</v>
      </c>
    </row>
    <row r="48" spans="1:11" s="9" customFormat="1" x14ac:dyDescent="0.3">
      <c r="A48" s="9" t="s">
        <v>13</v>
      </c>
      <c r="B48">
        <v>4347.0</v>
      </c>
      <c r="C48">
        <v>4126.0</v>
      </c>
      <c r="D48">
        <v>4077.0</v>
      </c>
      <c r="E48">
        <v>4222.0</v>
      </c>
      <c r="F48">
        <v>4109.0</v>
      </c>
      <c r="G48">
        <v>4160.0</v>
      </c>
      <c r="H48">
        <v>3937.0</v>
      </c>
      <c r="I48">
        <v>3358.0</v>
      </c>
      <c r="J48">
        <v>4578.0</v>
      </c>
      <c r="K48">
        <v>4524.0</v>
      </c>
    </row>
    <row r="49" spans="1:11" s="9" customFormat="1" x14ac:dyDescent="0.3">
      <c r="A49" s="9" t="s">
        <v>14</v>
      </c>
      <c r="B49">
        <v>12434.0</v>
      </c>
      <c r="C49">
        <v>12040.0</v>
      </c>
      <c r="D49">
        <v>11909.0</v>
      </c>
      <c r="E49">
        <v>12380.0</v>
      </c>
      <c r="F49">
        <v>12224.0</v>
      </c>
      <c r="G49">
        <v>12760.0</v>
      </c>
      <c r="H49">
        <v>12075.0</v>
      </c>
      <c r="I49">
        <v>10657.0</v>
      </c>
      <c r="J49">
        <v>13718.0</v>
      </c>
      <c r="K49">
        <v>13349.0</v>
      </c>
    </row>
    <row r="50" spans="1:11" x14ac:dyDescent="0.3">
      <c r="A50" s="9" t="s">
        <v>8</v>
      </c>
      <c r="B50">
        <v>17164.0</v>
      </c>
      <c r="C50">
        <v>16662.0</v>
      </c>
      <c r="D50">
        <v>16731.0</v>
      </c>
      <c r="E50">
        <v>17034.0</v>
      </c>
      <c r="F50">
        <v>16980.0</v>
      </c>
      <c r="G50">
        <v>16875.0</v>
      </c>
      <c r="H50">
        <v>17978.0</v>
      </c>
      <c r="I50">
        <v>18269.0</v>
      </c>
      <c r="J50">
        <v>19276.0</v>
      </c>
      <c r="K50">
        <v>18556.0</v>
      </c>
    </row>
    <row r="51" spans="1:11" x14ac:dyDescent="0.3">
      <c r="A51" s="9"/>
    </row>
    <row r="52" spans="1:11" x14ac:dyDescent="0.3">
      <c r="A52" s="9"/>
    </row>
    <row r="53" spans="1:11" x14ac:dyDescent="0.3">
      <c r="A53" s="9"/>
    </row>
    <row r="54" spans="1:11" x14ac:dyDescent="0.3">
      <c r="A54" s="9"/>
    </row>
    <row r="55" spans="1:11" x14ac:dyDescent="0.3">
      <c r="A55" s="1" t="s">
        <v>40</v>
      </c>
    </row>
    <row r="56" spans="1:11" s="24" customFormat="1" x14ac:dyDescent="0.3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3">
      <c r="A57" s="9" t="s">
        <v>24</v>
      </c>
      <c r="B57">
        <v>197.0</v>
      </c>
      <c r="C57">
        <v>191.0</v>
      </c>
      <c r="D57">
        <v>375.0</v>
      </c>
      <c r="E57">
        <v>375.0</v>
      </c>
      <c r="F57">
        <v>370.0</v>
      </c>
      <c r="G57">
        <v>366.0</v>
      </c>
      <c r="H57">
        <v>366.0</v>
      </c>
      <c r="I57">
        <v>362.0</v>
      </c>
      <c r="J57">
        <v>362.0</v>
      </c>
      <c r="K57">
        <v>362.0</v>
      </c>
    </row>
    <row r="58" spans="1:11" x14ac:dyDescent="0.3">
      <c r="A58" s="9" t="s">
        <v>25</v>
      </c>
      <c r="B58">
        <v>86017.0</v>
      </c>
      <c r="C58">
        <v>84937.0</v>
      </c>
      <c r="D58">
        <v>89071.0</v>
      </c>
      <c r="E58">
        <v>83751.0</v>
      </c>
      <c r="F58">
        <v>86063.0</v>
      </c>
      <c r="G58">
        <v>88773.0</v>
      </c>
      <c r="H58">
        <v>90058.0</v>
      </c>
      <c r="I58">
        <v>90127.0</v>
      </c>
      <c r="J58">
        <v>94394.0</v>
      </c>
      <c r="K58">
        <v>106878.0</v>
      </c>
    </row>
    <row r="59" spans="1:11" x14ac:dyDescent="0.3">
      <c r="A59" s="9" t="s">
        <v>71</v>
      </c>
      <c r="B59">
        <v>289.0</v>
      </c>
      <c r="C59">
        <v>247.0</v>
      </c>
      <c r="D59">
        <v>62.0</v>
      </c>
      <c r="E59">
        <v>8174.0</v>
      </c>
      <c r="F59">
        <v>7795.0</v>
      </c>
      <c r="G59">
        <v>7818.0</v>
      </c>
      <c r="H59">
        <v>7688.0</v>
      </c>
      <c r="I59">
        <v>8021.0</v>
      </c>
      <c r="J59">
        <v>9392.0</v>
      </c>
      <c r="K59">
        <v>11283.0</v>
      </c>
    </row>
    <row r="60" spans="1:11" x14ac:dyDescent="0.3">
      <c r="A60" s="9" t="s">
        <v>72</v>
      </c>
      <c r="B60">
        <v>15830.0</v>
      </c>
      <c r="C60">
        <v>19751.0</v>
      </c>
      <c r="D60">
        <v>24393.0</v>
      </c>
      <c r="E60">
        <v>27827.0</v>
      </c>
      <c r="F60">
        <v>35764.0</v>
      </c>
      <c r="G60">
        <v>43967.0</v>
      </c>
      <c r="H60">
        <v>44747.0</v>
      </c>
      <c r="I60">
        <v>46962.0</v>
      </c>
      <c r="J60">
        <v>54501.0</v>
      </c>
      <c r="K60">
        <v>62644.0</v>
      </c>
    </row>
    <row r="61" spans="1:11" s="1" customFormat="1" x14ac:dyDescent="0.3">
      <c r="A61" s="1" t="s">
        <v>26</v>
      </c>
      <c r="B61">
        <v>102333.0</v>
      </c>
      <c r="C61">
        <v>105126.0</v>
      </c>
      <c r="D61">
        <v>113901.0</v>
      </c>
      <c r="E61">
        <v>120127.0</v>
      </c>
      <c r="F61">
        <v>129992.0</v>
      </c>
      <c r="G61">
        <v>140924.0</v>
      </c>
      <c r="H61">
        <v>142859.0</v>
      </c>
      <c r="I61">
        <v>145472.0</v>
      </c>
      <c r="J61">
        <v>158649.0</v>
      </c>
      <c r="K61">
        <v>181167.0</v>
      </c>
    </row>
    <row r="62" spans="1:11" x14ac:dyDescent="0.3">
      <c r="A62" s="9" t="s">
        <v>27</v>
      </c>
      <c r="B62">
        <v>11701.0</v>
      </c>
      <c r="C62">
        <v>11973.0</v>
      </c>
      <c r="D62">
        <v>12290.0</v>
      </c>
      <c r="E62">
        <v>20928.0</v>
      </c>
      <c r="F62">
        <v>21021.0</v>
      </c>
      <c r="G62">
        <v>21298.0</v>
      </c>
      <c r="H62">
        <v>20515.0</v>
      </c>
      <c r="I62">
        <v>19604.0</v>
      </c>
      <c r="J62">
        <v>23053.0</v>
      </c>
      <c r="K62">
        <v>31343.0</v>
      </c>
    </row>
    <row r="63" spans="1:11" x14ac:dyDescent="0.3">
      <c r="A63" s="9" t="s">
        <v>28</v>
      </c>
      <c r="B63">
        <v>1541.0</v>
      </c>
      <c r="C63">
        <v>1278.0</v>
      </c>
      <c r="D63">
        <v>963.0</v>
      </c>
      <c r="E63">
        <v>906.0</v>
      </c>
      <c r="F63">
        <v>926.0</v>
      </c>
      <c r="G63">
        <v>1205.0</v>
      </c>
      <c r="H63">
        <v>1234.0</v>
      </c>
      <c r="I63">
        <v>1564.0</v>
      </c>
      <c r="J63">
        <v>1546.0</v>
      </c>
      <c r="K63">
        <v>2665.0</v>
      </c>
    </row>
    <row r="64" spans="1:11" x14ac:dyDescent="0.3">
      <c r="A64" s="9" t="s">
        <v>29</v>
      </c>
      <c r="B64">
        <v>41980.0</v>
      </c>
      <c r="C64">
        <v>36008.0</v>
      </c>
      <c r="D64">
        <v>29330.0</v>
      </c>
      <c r="E64">
        <v>26356.0</v>
      </c>
      <c r="F64">
        <v>29373.0</v>
      </c>
      <c r="G64">
        <v>30485.0</v>
      </c>
      <c r="H64">
        <v>37163.0</v>
      </c>
      <c r="I64">
        <v>31762.0</v>
      </c>
      <c r="J64">
        <v>30964.0</v>
      </c>
      <c r="K64">
        <v>33988.0</v>
      </c>
    </row>
    <row r="65" spans="1:11" x14ac:dyDescent="0.3">
      <c r="A65" s="9" t="s">
        <v>73</v>
      </c>
      <c r="B65">
        <v>47111.0</v>
      </c>
      <c r="C65">
        <v>55867.0</v>
      </c>
      <c r="D65">
        <v>71318.0</v>
      </c>
      <c r="E65">
        <v>71937.0</v>
      </c>
      <c r="F65">
        <v>78672.0</v>
      </c>
      <c r="G65">
        <v>87936.0</v>
      </c>
      <c r="H65">
        <v>83947.0</v>
      </c>
      <c r="I65">
        <v>92542.0</v>
      </c>
      <c r="J65">
        <v>103086.0</v>
      </c>
      <c r="K65">
        <v>113171.0</v>
      </c>
    </row>
    <row r="66" spans="1:11" s="1" customFormat="1" x14ac:dyDescent="0.3">
      <c r="A66" s="1" t="s">
        <v>26</v>
      </c>
      <c r="B66">
        <v>102333.0</v>
      </c>
      <c r="C66">
        <v>105126.0</v>
      </c>
      <c r="D66">
        <v>113901.0</v>
      </c>
      <c r="E66">
        <v>120127.0</v>
      </c>
      <c r="F66">
        <v>129992.0</v>
      </c>
      <c r="G66">
        <v>140924.0</v>
      </c>
      <c r="H66">
        <v>142859.0</v>
      </c>
      <c r="I66">
        <v>145472.0</v>
      </c>
      <c r="J66">
        <v>158649.0</v>
      </c>
      <c r="K66">
        <v>181167.0</v>
      </c>
    </row>
    <row r="67" spans="1:11" s="9" customFormat="1" x14ac:dyDescent="0.3">
      <c r="A67" s="9" t="s">
        <v>78</v>
      </c>
      <c r="B67">
        <v>22617.0</v>
      </c>
      <c r="C67">
        <v>24943.0</v>
      </c>
      <c r="D67">
        <v>27346.0</v>
      </c>
      <c r="E67">
        <v>30532.0</v>
      </c>
      <c r="F67">
        <v>30079.0</v>
      </c>
      <c r="G67">
        <v>41810.0</v>
      </c>
      <c r="H67">
        <v>49954.0</v>
      </c>
      <c r="I67">
        <v>53577.0</v>
      </c>
      <c r="J67">
        <v>59046.0</v>
      </c>
      <c r="K67">
        <v>67714.0</v>
      </c>
    </row>
    <row r="68" spans="1:11" x14ac:dyDescent="0.3">
      <c r="A68" s="9" t="s">
        <v>45</v>
      </c>
      <c r="B68">
        <v>21.0</v>
      </c>
      <c r="C68">
        <v>26.0</v>
      </c>
      <c r="D68">
        <v>10.0</v>
      </c>
      <c r="E68">
        <v>5.0</v>
      </c>
      <c r="F68">
        <v>8.0</v>
      </c>
      <c r="G68">
        <v>20.0</v>
      </c>
      <c r="H68">
        <v>28.0</v>
      </c>
      <c r="I68">
        <v>28.0</v>
      </c>
      <c r="J68">
        <v>21.0</v>
      </c>
      <c r="K68">
        <v>29.0</v>
      </c>
    </row>
    <row r="69" spans="1:11" x14ac:dyDescent="0.3">
      <c r="A69" s="5" t="s">
        <v>87</v>
      </c>
      <c r="B69">
        <v>4149.0</v>
      </c>
      <c r="C69">
        <v>7161.0</v>
      </c>
      <c r="D69">
        <v>12848.0</v>
      </c>
      <c r="E69">
        <v>9666.0</v>
      </c>
      <c r="F69">
        <v>9329.0</v>
      </c>
      <c r="G69">
        <v>18221.0</v>
      </c>
      <c r="H69">
        <v>11032.0</v>
      </c>
      <c r="I69">
        <v>13286.0</v>
      </c>
      <c r="J69">
        <v>15463.0</v>
      </c>
      <c r="K69">
        <v>12908.0</v>
      </c>
    </row>
    <row r="70" spans="1:11" x14ac:dyDescent="0.3">
      <c r="A70" s="5" t="s">
        <v>74</v>
      </c>
      <c r="B70">
        <v>1970427941.0</v>
      </c>
      <c r="C70">
        <v>1914287591.0</v>
      </c>
      <c r="D70">
        <v>3752384706.0</v>
      </c>
      <c r="E70">
        <v>3752384706.0</v>
      </c>
      <c r="F70">
        <v>3699051373.0</v>
      </c>
      <c r="G70">
        <v>3659051373.0</v>
      </c>
      <c r="H70">
        <v>3659051373.0</v>
      </c>
      <c r="I70">
        <v>3618087518.0</v>
      </c>
      <c r="J70">
        <v>3618087518.0</v>
      </c>
      <c r="K70">
        <v>3618087518.0</v>
      </c>
    </row>
    <row r="71" spans="1:11" x14ac:dyDescent="0.3">
      <c r="A71" s="5" t="s">
        <v>75</v>
      </c>
      <c r="C71"/>
      <c r="E71"/>
    </row>
    <row r="72" spans="1:11" x14ac:dyDescent="0.3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1" x14ac:dyDescent="0.3">
      <c r="A74" s="9"/>
    </row>
    <row r="75" spans="1:11" x14ac:dyDescent="0.3">
      <c r="A75" s="9"/>
    </row>
    <row r="76" spans="1:11" x14ac:dyDescent="0.3">
      <c r="A76" s="9"/>
    </row>
    <row r="77" spans="1:11" x14ac:dyDescent="0.3">
      <c r="A77" s="9"/>
    </row>
    <row r="78" spans="1:11" x14ac:dyDescent="0.3">
      <c r="A78" s="9"/>
    </row>
    <row r="79" spans="1:11" x14ac:dyDescent="0.3">
      <c r="A79" s="9"/>
    </row>
    <row r="80" spans="1:11" x14ac:dyDescent="0.3">
      <c r="A80" s="1" t="s">
        <v>41</v>
      </c>
    </row>
    <row r="81" spans="1:11" s="24" customFormat="1" x14ac:dyDescent="0.3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3">
      <c r="A82" s="9" t="s">
        <v>32</v>
      </c>
      <c r="B82">
        <v>25223.0</v>
      </c>
      <c r="C82">
        <v>25067.0</v>
      </c>
      <c r="D82">
        <v>28593.0</v>
      </c>
      <c r="E82">
        <v>32369.0</v>
      </c>
      <c r="F82">
        <v>38802.0</v>
      </c>
      <c r="G82">
        <v>39949.0</v>
      </c>
      <c r="H82">
        <v>41965.0</v>
      </c>
      <c r="I82">
        <v>44338.0</v>
      </c>
      <c r="J82">
        <v>48908.0</v>
      </c>
      <c r="K82">
        <v>52094.0</v>
      </c>
    </row>
    <row r="83" spans="1:11" s="9" customFormat="1" x14ac:dyDescent="0.3">
      <c r="A83" s="9" t="s">
        <v>33</v>
      </c>
      <c r="B83">
        <v>-16895.0</v>
      </c>
      <c r="C83">
        <v>3104.0</v>
      </c>
      <c r="D83">
        <v>1645.0</v>
      </c>
      <c r="E83">
        <v>8968.0</v>
      </c>
      <c r="F83">
        <v>-7956.0</v>
      </c>
      <c r="G83">
        <v>-738.0</v>
      </c>
      <c r="H83">
        <v>548.0</v>
      </c>
      <c r="I83">
        <v>6091.0</v>
      </c>
      <c r="J83">
        <v>-2144.0</v>
      </c>
      <c r="K83">
        <v>-11886.0</v>
      </c>
    </row>
    <row r="84" spans="1:11" s="9" customFormat="1" x14ac:dyDescent="0.3">
      <c r="A84" s="9" t="s">
        <v>34</v>
      </c>
      <c r="B84">
        <v>-11026.0</v>
      </c>
      <c r="C84">
        <v>-26885.0</v>
      </c>
      <c r="D84">
        <v>-27897.0</v>
      </c>
      <c r="E84">
        <v>-39915.0</v>
      </c>
      <c r="F84">
        <v>-32634.0</v>
      </c>
      <c r="G84">
        <v>-33581.0</v>
      </c>
      <c r="H84">
        <v>-47878.0</v>
      </c>
      <c r="I84">
        <v>-48536.0</v>
      </c>
      <c r="J84">
        <v>-47438.0</v>
      </c>
      <c r="K84">
        <v>-42133.0</v>
      </c>
    </row>
    <row r="85" spans="1:11" s="1" customFormat="1" x14ac:dyDescent="0.3">
      <c r="A85" s="9" t="s">
        <v>35</v>
      </c>
      <c r="B85">
        <v>-2698.0</v>
      </c>
      <c r="C85">
        <v>1286.0</v>
      </c>
      <c r="D85">
        <v>2341.0</v>
      </c>
      <c r="E85">
        <v>1422.0</v>
      </c>
      <c r="F85">
        <v>-1788.0</v>
      </c>
      <c r="G85">
        <v>5630.0</v>
      </c>
      <c r="H85">
        <v>-5365.0</v>
      </c>
      <c r="I85">
        <v>1893.0</v>
      </c>
      <c r="J85">
        <v>-674.0</v>
      </c>
      <c r="K85">
        <v>-1925.0</v>
      </c>
    </row>
    <row r="86" spans="1:11" x14ac:dyDescent="0.3">
      <c r="A86" s="9"/>
    </row>
    <row r="87" spans="1:11" x14ac:dyDescent="0.3">
      <c r="A87" s="9"/>
    </row>
    <row r="88" spans="1:11" x14ac:dyDescent="0.3">
      <c r="A88" s="9"/>
    </row>
    <row r="89" spans="1:11" x14ac:dyDescent="0.3">
      <c r="A89" s="9"/>
    </row>
    <row r="90" spans="1:11" s="1" customFormat="1" x14ac:dyDescent="0.3">
      <c r="A90" s="1" t="s">
        <v>77</v>
      </c>
      <c r="B90">
        <v>1215.9</v>
      </c>
      <c r="C90">
        <v>1424.58</v>
      </c>
      <c r="D90">
        <v>2001.65</v>
      </c>
      <c r="E90">
        <v>1826.1</v>
      </c>
      <c r="F90">
        <v>3177.85</v>
      </c>
      <c r="G90">
        <v>3739.95</v>
      </c>
      <c r="H90">
        <v>3205.9</v>
      </c>
      <c r="I90">
        <v>3876.3</v>
      </c>
      <c r="J90">
        <v>3606.15</v>
      </c>
      <c r="K90">
        <v>2358.9</v>
      </c>
    </row>
    <row r="92" spans="1:11" s="1" customFormat="1" x14ac:dyDescent="0.3">
      <c r="A92" s="1" t="s">
        <v>76</v>
      </c>
    </row>
    <row r="93" spans="1:11" x14ac:dyDescent="0.3">
      <c r="A93" s="5" t="s">
        <v>89</v>
      </c>
      <c r="B93" s="31">
        <v>394.09</v>
      </c>
      <c r="C93" s="31">
        <v>382.86</v>
      </c>
      <c r="D93" s="31">
        <v>375.24</v>
      </c>
      <c r="E93" s="31">
        <v>375.24</v>
      </c>
      <c r="F93" s="31">
        <v>369.91</v>
      </c>
      <c r="G93" s="31">
        <v>365.91</v>
      </c>
      <c r="H93" s="31">
        <v>365.91</v>
      </c>
      <c r="I93" s="31">
        <v>361.81</v>
      </c>
      <c r="J93" s="31">
        <v>361.81</v>
      </c>
      <c r="K93" s="31">
        <v>361.81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Akshay A R</cp:lastModifiedBy>
  <cp:lastPrinted>2012-12-06T18:14:13Z</cp:lastPrinted>
  <dcterms:created xsi:type="dcterms:W3CDTF">2012-08-17T09:55:37Z</dcterms:created>
  <dcterms:modified xsi:type="dcterms:W3CDTF">2024-12-01T00:09:59Z</dcterms:modified>
</cp:coreProperties>
</file>